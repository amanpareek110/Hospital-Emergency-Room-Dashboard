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DELL\Downloads\Hospital Dashboard\"/>
    </mc:Choice>
  </mc:AlternateContent>
  <xr:revisionPtr revIDLastSave="0" documentId="13_ncr:1_{1AF67050-23C7-460E-8E3D-570379BA0B23}" xr6:coauthVersionLast="47" xr6:coauthVersionMax="47" xr10:uidLastSave="{00000000-0000-0000-0000-000000000000}"/>
  <bookViews>
    <workbookView xWindow="-120" yWindow="-120" windowWidth="20730" windowHeight="11760" activeTab="1" xr2:uid="{00000000-000D-0000-FFFF-FFFF00000000}"/>
  </bookViews>
  <sheets>
    <sheet name="Pivot Report" sheetId="1" r:id="rId1"/>
    <sheet name="Daseboard" sheetId="2" r:id="rId2"/>
    <sheet name="Daliy ER no of patient" sheetId="5" r:id="rId3"/>
    <sheet name="Average wait time daily trend" sheetId="6" r:id="rId4"/>
    <sheet name="Satisfaction score daily trends" sheetId="7" r:id="rId5"/>
  </sheets>
  <definedNames>
    <definedName name="Slicer_Date__Month">#N/A</definedName>
    <definedName name="Slicer_Date__Year_1">#N/A</definedName>
    <definedName name="Slicer_Patient_Gender">#N/A</definedName>
  </definedNames>
  <calcPr calcId="191029"/>
  <pivotCaches>
    <pivotCache cacheId="518" r:id="rId6"/>
    <pivotCache cacheId="521" r:id="rId7"/>
    <pivotCache cacheId="524" r:id="rId8"/>
    <pivotCache cacheId="527" r:id="rId9"/>
    <pivotCache cacheId="530" r:id="rId10"/>
    <pivotCache cacheId="533" r:id="rId11"/>
    <pivotCache cacheId="536" r:id="rId12"/>
    <pivotCache cacheId="539" r:id="rId13"/>
    <pivotCache cacheId="542" r:id="rId14"/>
    <pivotCache cacheId="545" r:id="rId15"/>
    <pivotCache cacheId="548" r:id="rId16"/>
    <pivotCache cacheId="551" r:id="rId17"/>
    <pivotCache cacheId="554" r:id="rId18"/>
    <pivotCache cacheId="557" r:id="rId19"/>
  </pivotCaches>
  <extLst>
    <ext xmlns:x14="http://schemas.microsoft.com/office/spreadsheetml/2009/9/main" uri="{876F7934-8845-4945-9796-88D515C7AA90}">
      <x14:pivotCaches>
        <pivotCache cacheId="13" r:id="rId20"/>
      </x14:pivotCaches>
    </ex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261133ac-e7ee-491c-8d84-6f7aa2021446" name="Hospital Emergency Room Data" connection="Query - Hospital Emergency Room Data"/>
          <x15:modelTable id="Calender_Table_9959b599-9983-4e89-9ebc-fd1e48f78d76"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1" columnId="Date (Year)1" contentType="years" isSelected="1"/>
                <x16:calculatedTimeColumn columnName="Date (Quarter)1" columnId="Date (Quarter)1" contentType="quarters" isSelected="1"/>
                <x16:calculatedTimeColumn columnName="Date (Month Index)1" columnId="Date (Month Index)1" contentType="monthsindex" isSelected="1"/>
                <x16:calculatedTimeColumn columnName="Date (Month)1" columnId="Date (Month)1"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1" i="1" l="1"/>
  <c r="C51" i="1"/>
  <c r="B52" i="1"/>
  <c r="C52" i="1"/>
  <c r="A51" i="1"/>
  <c r="A52" i="1"/>
  <c r="A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1D3AE2-A4A9-459B-90DE-7806FDA9F7E7}" name="Query - Calender_Table" description="Connection to the 'Calender_Table' query in the workbook." type="100" refreshedVersion="7" minRefreshableVersion="5">
    <extLst>
      <ext xmlns:x15="http://schemas.microsoft.com/office/spreadsheetml/2010/11/main" uri="{DE250136-89BD-433C-8126-D09CA5730AF9}">
        <x15:connection id="a9d02614-da4a-43a5-9656-000d12484ad2"/>
      </ext>
    </extLst>
  </connection>
  <connection id="2" xr16:uid="{DD294842-66DE-4F09-B76E-83C471082953}"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b081973f-bc8d-4e7a-b6eb-3a3aaba748dd"/>
      </ext>
    </extLst>
  </connection>
  <connection id="3" xr16:uid="{1DB1DA88-E97B-4B0B-AB78-CC591702D303}"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<sst xmlns="http://schemas.openxmlformats.org/spreadsheetml/2006/main" count="169" uniqueCount="80">
  <si>
    <t>Distinct Count of Patient Id</t>
  </si>
  <si>
    <t>No. of patient</t>
  </si>
  <si>
    <t>Average of Patient Waittime</t>
  </si>
  <si>
    <t>Average of Patient Satisfaction Score</t>
  </si>
  <si>
    <t>Row Labels</t>
  </si>
  <si>
    <t>Grand Total</t>
  </si>
  <si>
    <t>daiy trends of no of patient</t>
  </si>
  <si>
    <t>aerage wait time</t>
  </si>
  <si>
    <t>Use  an area chart to track daily changed and highlight days with longer wait times that mightneed improvements.</t>
  </si>
  <si>
    <t>Showing a daily trend with an area chart to spot patterns like busy days or seasonal trends.</t>
  </si>
  <si>
    <t>Use  an area chart to show tends, spot drops in satisfaction, and link them to busy times or challenges.</t>
  </si>
  <si>
    <t>Satisfaction score daily trend</t>
  </si>
  <si>
    <t>Sum of Patient Satisfaction Score</t>
  </si>
  <si>
    <t>Count of Patient Admission Flag</t>
  </si>
  <si>
    <t>Admitted</t>
  </si>
  <si>
    <t>Not Admitted</t>
  </si>
  <si>
    <t>Count of Patient Admission Flag2</t>
  </si>
  <si>
    <t>Admission status</t>
  </si>
  <si>
    <t>%Status</t>
  </si>
  <si>
    <t>No.of Patient</t>
  </si>
  <si>
    <t>0-9</t>
  </si>
  <si>
    <t>20-29</t>
  </si>
  <si>
    <t>30-39</t>
  </si>
  <si>
    <t>40-49</t>
  </si>
  <si>
    <t>50-59</t>
  </si>
  <si>
    <t>60-69</t>
  </si>
  <si>
    <t>70-79</t>
  </si>
  <si>
    <t>Count of Age Group</t>
  </si>
  <si>
    <t>age group wise analysis</t>
  </si>
  <si>
    <t>Delay</t>
  </si>
  <si>
    <t>Ontime</t>
  </si>
  <si>
    <t>Count of Patient Attend Status</t>
  </si>
  <si>
    <t>attended status</t>
  </si>
  <si>
    <t>Female</t>
  </si>
  <si>
    <t>Male</t>
  </si>
  <si>
    <t>Count of Patient Gender</t>
  </si>
  <si>
    <t>Gender</t>
  </si>
  <si>
    <t>Cardiology</t>
  </si>
  <si>
    <t>Gastroenterology</t>
  </si>
  <si>
    <t>General Practice</t>
  </si>
  <si>
    <t>Neurology</t>
  </si>
  <si>
    <t>None</t>
  </si>
  <si>
    <t>Orthopedics</t>
  </si>
  <si>
    <t>Physiotherapy</t>
  </si>
  <si>
    <t>Renal</t>
  </si>
  <si>
    <t>Count of Department Referral</t>
  </si>
  <si>
    <t>2023</t>
  </si>
  <si>
    <t>year Slicer</t>
  </si>
  <si>
    <t>No. of patient by department referral</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</si>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</sst>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1"/>
      <color theme="1"/>
      <name val="Calibri"/>
      <family val="2"/>
      <scheme val="minor"/>
    </font>
    <font>
      <b/>
      <sz val="11"/>
      <color theme="1"/>
      <name val="Calibri"/>
      <family val="2"/>
      <scheme val="minor"/>
    </font>
    <font>
      <sz val="11"/>
      <color theme="1" tint="0.249977111117893"/>
      <name val="Calibri"/>
      <family val="2"/>
      <scheme val="minor"/>
    </font>
    <font>
      <b/>
      <sz val="12"/>
      <color theme="0"/>
      <name val="Calibri"/>
      <family val="2"/>
      <scheme val="minor"/>
    </font>
    <font>
      <b/>
      <sz val="10"/>
      <color theme="1"/>
      <name val="Calibri"/>
      <family val="2"/>
      <scheme val="minor"/>
    </font>
  </fonts>
  <fills count="8">
    <fill>
      <patternFill patternType="none"/>
    </fill>
    <fill>
      <patternFill patternType="gray125"/>
    </fill>
    <fill>
      <patternFill patternType="solid">
        <fgColor theme="1" tint="0.34998626667073579"/>
        <bgColor indexed="64"/>
      </patternFill>
    </fill>
    <fill>
      <patternFill patternType="solid">
        <fgColor theme="2" tint="-0.249977111117893"/>
        <bgColor indexed="64"/>
      </patternFill>
    </fill>
    <fill>
      <patternFill patternType="solid">
        <fgColor theme="2" tint="-0.499984740745262"/>
        <bgColor indexed="64"/>
      </patternFill>
    </fill>
    <fill>
      <patternFill patternType="solid">
        <fgColor theme="0" tint="-0.34998626667073579"/>
        <bgColor indexed="64"/>
      </patternFill>
    </fill>
    <fill>
      <patternFill patternType="solid">
        <fgColor theme="8" tint="0.39997558519241921"/>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0" fontId="0" fillId="0" borderId="0" xfId="0" applyNumberFormat="1"/>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0" fontId="3" fillId="4" borderId="0" xfId="0" applyFont="1" applyFill="1"/>
    <xf numFmtId="0" fontId="0" fillId="4" borderId="0" xfId="0" applyFill="1"/>
    <xf numFmtId="0" fontId="2" fillId="4" borderId="0" xfId="0" applyFont="1" applyFill="1"/>
    <xf numFmtId="0" fontId="0" fillId="5" borderId="0" xfId="0" applyFill="1"/>
    <xf numFmtId="0" fontId="2" fillId="5" borderId="0" xfId="0" applyFont="1" applyFill="1"/>
    <xf numFmtId="0" fontId="4" fillId="4" borderId="0" xfId="0" applyFont="1" applyFill="1"/>
    <xf numFmtId="10" fontId="0" fillId="0" borderId="0" xfId="0" applyNumberFormat="1"/>
    <xf numFmtId="0" fontId="0" fillId="0" borderId="0" xfId="0" applyAlignment="1">
      <alignment horizontal="center"/>
    </xf>
    <xf numFmtId="0" fontId="0" fillId="7" borderId="0" xfId="0" applyFill="1" applyAlignment="1"/>
    <xf numFmtId="0" fontId="0" fillId="6" borderId="0" xfId="0" applyFill="1" applyAlignment="1">
      <alignment horizontal="center" vertical="center"/>
    </xf>
    <xf numFmtId="0" fontId="5" fillId="6" borderId="0" xfId="0" applyFont="1" applyFill="1" applyAlignment="1">
      <alignment horizontal="center" vertical="top"/>
    </xf>
    <xf numFmtId="0" fontId="5" fillId="7" borderId="0" xfId="0" applyFont="1" applyFill="1" applyAlignment="1">
      <alignment horizontal="center" vertical="top"/>
    </xf>
    <xf numFmtId="9" fontId="5" fillId="7" borderId="0" xfId="1" applyFont="1" applyFill="1" applyAlignment="1">
      <alignment horizontal="center" vertical="top"/>
    </xf>
    <xf numFmtId="1" fontId="0" fillId="0" borderId="0" xfId="0" applyNumberFormat="1"/>
  </cellXfs>
  <cellStyles count="2">
    <cellStyle name="Normal" xfId="0" builtinId="0"/>
    <cellStyle name="Percent" xfId="1" builtinId="5"/>
  </cellStyles>
  <dxfs count="171">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font>
        <b/>
        <color theme="1"/>
      </font>
      <border>
        <bottom style="thin">
          <color theme="5"/>
        </bottom>
        <vertical/>
        <horizontal/>
      </border>
    </dxf>
    <dxf>
      <font>
        <sz val="8"/>
        <color theme="1"/>
      </font>
      <fill>
        <patternFill patternType="none">
          <bgColor auto="1"/>
        </patternFill>
      </fill>
      <border diagonalUp="0" diagonalDown="0">
        <left/>
        <right/>
        <top/>
        <bottom/>
        <vertical/>
        <horizontal/>
      </border>
    </dxf>
  </dxfs>
  <tableStyles count="1" defaultTableStyle="TableStyleMedium2" defaultPivotStyle="PivotStyleLight16">
    <tableStyle name="My Style" pivot="0" table="0" count="10" xr9:uid="{84C4EFFB-2CB4-40D9-B29C-E2FFF28B407C}">
      <tableStyleElement type="wholeTable" dxfId="170"/>
      <tableStyleElement type="headerRow" dxfId="169"/>
    </tableStyle>
  </tableStyles>
  <colors>
    <mruColors>
      <color rgb="FF060234"/>
      <color rgb="FF080345"/>
      <color rgb="FF003366"/>
      <color rgb="FF003399"/>
      <color rgb="FF000066"/>
      <color rgb="FF00666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tyles" Target="styles.xml"/><Relationship Id="rId39" Type="http://schemas.openxmlformats.org/officeDocument/2006/relationships/customXml" Target="../customXml/item10.xml"/><Relationship Id="rId21" Type="http://schemas.microsoft.com/office/2007/relationships/slicerCache" Target="slicerCaches/slicerCache1.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07/relationships/slicerCache" Target="slicerCaches/slicerCache3.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2.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5.xml"/><Relationship Id="rId41"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2.xlsx]Pivot Report!PivotTable7</c:name>
    <c:fmtId val="0"/>
  </c:pivotSource>
  <c:chart>
    <c:autoTitleDeleted val="0"/>
    <c:pivotFmts>
      <c:pivotFmt>
        <c:idx val="0"/>
        <c:spPr>
          <a:solidFill>
            <a:srgbClr val="060234"/>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7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0"/>
          <c:y val="2.1238785829737386E-2"/>
          <c:w val="0.81380997678545353"/>
          <c:h val="0.91961494399042087"/>
        </c:manualLayout>
      </c:layout>
      <c:barChart>
        <c:barDir val="bar"/>
        <c:grouping val="clustered"/>
        <c:varyColors val="0"/>
        <c:ser>
          <c:idx val="0"/>
          <c:order val="0"/>
          <c:tx>
            <c:strRef>
              <c:f>'Pivot Report'!$B$43</c:f>
              <c:strCache>
                <c:ptCount val="1"/>
                <c:pt idx="0">
                  <c:v>Count of Patient Admission Flag</c:v>
                </c:pt>
              </c:strCache>
            </c:strRef>
          </c:tx>
          <c:spPr>
            <a:solidFill>
              <a:srgbClr val="060234"/>
            </a:solid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7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Report'!$A$44:$A$46</c:f>
              <c:strCache>
                <c:ptCount val="2"/>
                <c:pt idx="0">
                  <c:v>Admitted</c:v>
                </c:pt>
                <c:pt idx="1">
                  <c:v>Not Admitted</c:v>
                </c:pt>
              </c:strCache>
            </c:strRef>
          </c:cat>
          <c:val>
            <c:numRef>
              <c:f>'Pivot Report'!$B$44:$B$46</c:f>
              <c:numCache>
                <c:formatCode>0.00</c:formatCode>
                <c:ptCount val="2"/>
                <c:pt idx="0">
                  <c:v>229</c:v>
                </c:pt>
                <c:pt idx="1">
                  <c:v>251</c:v>
                </c:pt>
              </c:numCache>
            </c:numRef>
          </c:val>
          <c:extLst>
            <c:ext xmlns:c16="http://schemas.microsoft.com/office/drawing/2014/chart" uri="{C3380CC4-5D6E-409C-BE32-E72D297353CC}">
              <c16:uniqueId val="{00000005-FDCB-4977-B759-2EBE7073EA31}"/>
            </c:ext>
          </c:extLst>
        </c:ser>
        <c:ser>
          <c:idx val="1"/>
          <c:order val="1"/>
          <c:tx>
            <c:strRef>
              <c:f>'Pivot Report'!$C$43</c:f>
              <c:strCache>
                <c:ptCount val="1"/>
                <c:pt idx="0">
                  <c:v>Count of Patient Admission Flag2</c:v>
                </c:pt>
              </c:strCache>
            </c:strRef>
          </c:tx>
          <c:spPr>
            <a:solidFill>
              <a:schemeClr val="accent2"/>
            </a:solidFill>
            <a:ln>
              <a:noFill/>
            </a:ln>
            <a:effectLst/>
          </c:spPr>
          <c:invertIfNegative val="0"/>
          <c:cat>
            <c:strRef>
              <c:f>'Pivot Report'!$A$44:$A$46</c:f>
              <c:strCache>
                <c:ptCount val="2"/>
                <c:pt idx="0">
                  <c:v>Admitted</c:v>
                </c:pt>
                <c:pt idx="1">
                  <c:v>Not Admitted</c:v>
                </c:pt>
              </c:strCache>
            </c:strRef>
          </c:cat>
          <c:val>
            <c:numRef>
              <c:f>'Pivot Report'!$C$44:$C$46</c:f>
              <c:numCache>
                <c:formatCode>0.00%</c:formatCode>
                <c:ptCount val="2"/>
                <c:pt idx="0">
                  <c:v>0.47708333333333336</c:v>
                </c:pt>
                <c:pt idx="1">
                  <c:v>0.5229166666666667</c:v>
                </c:pt>
              </c:numCache>
            </c:numRef>
          </c:val>
          <c:extLst>
            <c:ext xmlns:c16="http://schemas.microsoft.com/office/drawing/2014/chart" uri="{C3380CC4-5D6E-409C-BE32-E72D297353CC}">
              <c16:uniqueId val="{00000006-FDCB-4977-B759-2EBE7073EA31}"/>
            </c:ext>
          </c:extLst>
        </c:ser>
        <c:dLbls>
          <c:showLegendKey val="0"/>
          <c:showVal val="0"/>
          <c:showCatName val="0"/>
          <c:showSerName val="0"/>
          <c:showPercent val="0"/>
          <c:showBubbleSize val="0"/>
        </c:dLbls>
        <c:gapWidth val="43"/>
        <c:overlap val="4"/>
        <c:axId val="2081645071"/>
        <c:axId val="2081641743"/>
      </c:barChart>
      <c:catAx>
        <c:axId val="2081645071"/>
        <c:scaling>
          <c:orientation val="minMax"/>
        </c:scaling>
        <c:delete val="1"/>
        <c:axPos val="l"/>
        <c:numFmt formatCode="General" sourceLinked="1"/>
        <c:majorTickMark val="none"/>
        <c:minorTickMark val="none"/>
        <c:tickLblPos val="nextTo"/>
        <c:crossAx val="2081641743"/>
        <c:crosses val="autoZero"/>
        <c:auto val="1"/>
        <c:lblAlgn val="ctr"/>
        <c:lblOffset val="100"/>
        <c:noMultiLvlLbl val="0"/>
      </c:catAx>
      <c:valAx>
        <c:axId val="2081641743"/>
        <c:scaling>
          <c:orientation val="minMax"/>
        </c:scaling>
        <c:delete val="1"/>
        <c:axPos val="b"/>
        <c:numFmt formatCode="0.00" sourceLinked="1"/>
        <c:majorTickMark val="none"/>
        <c:minorTickMark val="none"/>
        <c:tickLblPos val="nextTo"/>
        <c:crossAx val="2081645071"/>
        <c:crosses val="autoZero"/>
        <c:crossBetween val="between"/>
      </c:valAx>
      <c:spPr>
        <a:noFill/>
        <a:ln>
          <a:noFill/>
        </a:ln>
        <a:effectLst>
          <a:softEdge rad="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2.xlsx]Pivot Report!PivotTable5</c:name>
    <c:fmtId val="5"/>
  </c:pivotSource>
  <c:chart>
    <c:autoTitleDeleted val="1"/>
    <c:pivotFmts>
      <c:pivotFmt>
        <c:idx val="0"/>
        <c:spPr>
          <a:solidFill>
            <a:srgbClr val="0602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602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602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602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60234"/>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200471898185308E-2"/>
          <c:y val="0.47387768757741999"/>
          <c:w val="0.81339452144674407"/>
          <c:h val="0.51241880061681178"/>
        </c:manualLayout>
      </c:layout>
      <c:areaChart>
        <c:grouping val="standard"/>
        <c:varyColors val="0"/>
        <c:ser>
          <c:idx val="0"/>
          <c:order val="0"/>
          <c:tx>
            <c:strRef>
              <c:f>'Pivot Report'!$D$4</c:f>
              <c:strCache>
                <c:ptCount val="1"/>
                <c:pt idx="0">
                  <c:v>Total</c:v>
                </c:pt>
              </c:strCache>
            </c:strRef>
          </c:tx>
          <c:spPr>
            <a:solidFill>
              <a:srgbClr val="060234"/>
            </a:solidFill>
            <a:ln w="25400">
              <a:noFill/>
            </a:ln>
            <a:effectLst/>
          </c:spPr>
          <c:cat>
            <c:strRef>
              <c:f>'Pivot Report'!$C$5:$C$36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Report'!$D$5:$D$36</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3-A12E-456D-94E3-B0656D3C8DC8}"/>
            </c:ext>
          </c:extLst>
        </c:ser>
        <c:dLbls>
          <c:showLegendKey val="0"/>
          <c:showVal val="0"/>
          <c:showCatName val="0"/>
          <c:showSerName val="0"/>
          <c:showPercent val="0"/>
          <c:showBubbleSize val="0"/>
        </c:dLbls>
        <c:axId val="227789407"/>
        <c:axId val="227796479"/>
      </c:areaChart>
      <c:catAx>
        <c:axId val="227789407"/>
        <c:scaling>
          <c:orientation val="minMax"/>
        </c:scaling>
        <c:delete val="1"/>
        <c:axPos val="b"/>
        <c:numFmt formatCode="General" sourceLinked="1"/>
        <c:majorTickMark val="out"/>
        <c:minorTickMark val="none"/>
        <c:tickLblPos val="nextTo"/>
        <c:crossAx val="227796479"/>
        <c:crosses val="autoZero"/>
        <c:auto val="1"/>
        <c:lblAlgn val="ctr"/>
        <c:lblOffset val="100"/>
        <c:noMultiLvlLbl val="0"/>
      </c:catAx>
      <c:valAx>
        <c:axId val="227796479"/>
        <c:scaling>
          <c:orientation val="minMax"/>
        </c:scaling>
        <c:delete val="1"/>
        <c:axPos val="l"/>
        <c:numFmt formatCode="General" sourceLinked="1"/>
        <c:majorTickMark val="none"/>
        <c:minorTickMark val="none"/>
        <c:tickLblPos val="nextTo"/>
        <c:crossAx val="22778940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2.xlsx]Pivot Report!PivotTable4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60234"/>
          </a:solidFill>
          <a:ln>
            <a:solidFill>
              <a:srgbClr val="00336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735043653073973E-2"/>
          <c:y val="0.43252005939488058"/>
          <c:w val="0.97726495634692601"/>
          <c:h val="0.56747994060511942"/>
        </c:manualLayout>
      </c:layout>
      <c:areaChart>
        <c:grouping val="standard"/>
        <c:varyColors val="0"/>
        <c:ser>
          <c:idx val="0"/>
          <c:order val="0"/>
          <c:tx>
            <c:strRef>
              <c:f>'Pivot Report'!$G$4</c:f>
              <c:strCache>
                <c:ptCount val="1"/>
                <c:pt idx="0">
                  <c:v>Total</c:v>
                </c:pt>
              </c:strCache>
            </c:strRef>
          </c:tx>
          <c:spPr>
            <a:solidFill>
              <a:srgbClr val="060234"/>
            </a:solidFill>
            <a:ln>
              <a:solidFill>
                <a:srgbClr val="003366"/>
              </a:solidFill>
            </a:ln>
            <a:effectLst/>
          </c:spPr>
          <c:cat>
            <c:strRef>
              <c:f>'Pivot Report'!$F$5:$F$36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Report'!$G$5:$G$36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2-E6D9-4DF1-B555-84811303F044}"/>
            </c:ext>
          </c:extLst>
        </c:ser>
        <c:dLbls>
          <c:showLegendKey val="0"/>
          <c:showVal val="0"/>
          <c:showCatName val="0"/>
          <c:showSerName val="0"/>
          <c:showPercent val="0"/>
          <c:showBubbleSize val="0"/>
        </c:dLbls>
        <c:axId val="1775965311"/>
        <c:axId val="1775966975"/>
      </c:areaChart>
      <c:catAx>
        <c:axId val="1775965311"/>
        <c:scaling>
          <c:orientation val="minMax"/>
        </c:scaling>
        <c:delete val="1"/>
        <c:axPos val="b"/>
        <c:numFmt formatCode="General" sourceLinked="1"/>
        <c:majorTickMark val="out"/>
        <c:minorTickMark val="none"/>
        <c:tickLblPos val="nextTo"/>
        <c:crossAx val="1775966975"/>
        <c:crosses val="autoZero"/>
        <c:auto val="1"/>
        <c:lblAlgn val="ctr"/>
        <c:lblOffset val="100"/>
        <c:noMultiLvlLbl val="0"/>
      </c:catAx>
      <c:valAx>
        <c:axId val="1775966975"/>
        <c:scaling>
          <c:orientation val="minMax"/>
        </c:scaling>
        <c:delete val="1"/>
        <c:axPos val="l"/>
        <c:numFmt formatCode="0.00" sourceLinked="1"/>
        <c:majorTickMark val="none"/>
        <c:minorTickMark val="none"/>
        <c:tickLblPos val="nextTo"/>
        <c:crossAx val="177596531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2.xlsx]Pivot Report!PivotTable6</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60234"/>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1759134373237407"/>
          <c:w val="1"/>
          <c:h val="0.77870662000583257"/>
        </c:manualLayout>
      </c:layout>
      <c:areaChart>
        <c:grouping val="standard"/>
        <c:varyColors val="0"/>
        <c:ser>
          <c:idx val="0"/>
          <c:order val="0"/>
          <c:tx>
            <c:strRef>
              <c:f>'Pivot Report'!$J$4</c:f>
              <c:strCache>
                <c:ptCount val="1"/>
                <c:pt idx="0">
                  <c:v>Total</c:v>
                </c:pt>
              </c:strCache>
            </c:strRef>
          </c:tx>
          <c:spPr>
            <a:solidFill>
              <a:srgbClr val="060234"/>
            </a:solidFill>
            <a:ln w="25400">
              <a:noFill/>
            </a:ln>
            <a:effectLst/>
          </c:spPr>
          <c:cat>
            <c:strRef>
              <c:f>'Pivot Report'!$I$5:$I$35</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Report'!$J$5:$J$35</c:f>
              <c:numCache>
                <c:formatCode>0.00</c:formatCode>
                <c:ptCount val="30"/>
                <c:pt idx="0">
                  <c:v>11</c:v>
                </c:pt>
                <c:pt idx="1">
                  <c:v>20</c:v>
                </c:pt>
                <c:pt idx="2">
                  <c:v>30</c:v>
                </c:pt>
                <c:pt idx="3">
                  <c:v>24</c:v>
                </c:pt>
                <c:pt idx="4">
                  <c:v>22</c:v>
                </c:pt>
                <c:pt idx="5">
                  <c:v>21</c:v>
                </c:pt>
                <c:pt idx="6">
                  <c:v>24</c:v>
                </c:pt>
                <c:pt idx="7">
                  <c:v>18</c:v>
                </c:pt>
                <c:pt idx="8">
                  <c:v>25</c:v>
                </c:pt>
                <c:pt idx="9">
                  <c:v>16</c:v>
                </c:pt>
                <c:pt idx="10">
                  <c:v>22</c:v>
                </c:pt>
                <c:pt idx="11">
                  <c:v>13</c:v>
                </c:pt>
                <c:pt idx="12">
                  <c:v>18</c:v>
                </c:pt>
                <c:pt idx="13">
                  <c:v>10</c:v>
                </c:pt>
                <c:pt idx="14">
                  <c:v>67</c:v>
                </c:pt>
                <c:pt idx="15">
                  <c:v>62</c:v>
                </c:pt>
                <c:pt idx="16">
                  <c:v>11</c:v>
                </c:pt>
                <c:pt idx="17">
                  <c:v>9</c:v>
                </c:pt>
                <c:pt idx="18">
                  <c:v>30</c:v>
                </c:pt>
                <c:pt idx="19">
                  <c:v>23</c:v>
                </c:pt>
                <c:pt idx="20">
                  <c:v>22</c:v>
                </c:pt>
                <c:pt idx="21">
                  <c:v>28</c:v>
                </c:pt>
                <c:pt idx="22">
                  <c:v>13</c:v>
                </c:pt>
                <c:pt idx="23">
                  <c:v>12</c:v>
                </c:pt>
                <c:pt idx="24">
                  <c:v>22</c:v>
                </c:pt>
                <c:pt idx="25">
                  <c:v>16</c:v>
                </c:pt>
                <c:pt idx="26">
                  <c:v>19</c:v>
                </c:pt>
                <c:pt idx="27">
                  <c:v>12</c:v>
                </c:pt>
                <c:pt idx="28">
                  <c:v>16</c:v>
                </c:pt>
                <c:pt idx="29">
                  <c:v>25</c:v>
                </c:pt>
              </c:numCache>
            </c:numRef>
          </c:val>
          <c:extLst>
            <c:ext xmlns:c16="http://schemas.microsoft.com/office/drawing/2014/chart" uri="{C3380CC4-5D6E-409C-BE32-E72D297353CC}">
              <c16:uniqueId val="{00000002-943A-4300-BB36-73CAF6290120}"/>
            </c:ext>
          </c:extLst>
        </c:ser>
        <c:dLbls>
          <c:showLegendKey val="0"/>
          <c:showVal val="0"/>
          <c:showCatName val="0"/>
          <c:showSerName val="0"/>
          <c:showPercent val="0"/>
          <c:showBubbleSize val="0"/>
        </c:dLbls>
        <c:axId val="1909938463"/>
        <c:axId val="1909934303"/>
      </c:areaChart>
      <c:catAx>
        <c:axId val="1909938463"/>
        <c:scaling>
          <c:orientation val="minMax"/>
        </c:scaling>
        <c:delete val="1"/>
        <c:axPos val="b"/>
        <c:numFmt formatCode="General" sourceLinked="1"/>
        <c:majorTickMark val="out"/>
        <c:minorTickMark val="none"/>
        <c:tickLblPos val="nextTo"/>
        <c:crossAx val="1909934303"/>
        <c:crosses val="autoZero"/>
        <c:auto val="1"/>
        <c:lblAlgn val="ctr"/>
        <c:lblOffset val="100"/>
        <c:noMultiLvlLbl val="0"/>
      </c:catAx>
      <c:valAx>
        <c:axId val="1909934303"/>
        <c:scaling>
          <c:orientation val="minMax"/>
        </c:scaling>
        <c:delete val="1"/>
        <c:axPos val="l"/>
        <c:numFmt formatCode="0.00" sourceLinked="1"/>
        <c:majorTickMark val="none"/>
        <c:minorTickMark val="none"/>
        <c:tickLblPos val="nextTo"/>
        <c:crossAx val="190993846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2.xlsx]Pivot Report!PivotTable8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602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525311524052339E-2"/>
          <c:y val="4.9888907424465532E-3"/>
          <c:w val="0.89019685039370078"/>
          <c:h val="0.8416746864975212"/>
        </c:manualLayout>
      </c:layout>
      <c:barChart>
        <c:barDir val="col"/>
        <c:grouping val="clustered"/>
        <c:varyColors val="0"/>
        <c:ser>
          <c:idx val="0"/>
          <c:order val="0"/>
          <c:tx>
            <c:strRef>
              <c:f>'Pivot Report'!$B$55</c:f>
              <c:strCache>
                <c:ptCount val="1"/>
                <c:pt idx="0">
                  <c:v>Total</c:v>
                </c:pt>
              </c:strCache>
            </c:strRef>
          </c:tx>
          <c:spPr>
            <a:solidFill>
              <a:srgbClr val="06023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Report'!$A$56:$A$63</c:f>
              <c:strCache>
                <c:ptCount val="7"/>
                <c:pt idx="0">
                  <c:v>0-9</c:v>
                </c:pt>
                <c:pt idx="1">
                  <c:v>20-29</c:v>
                </c:pt>
                <c:pt idx="2">
                  <c:v>30-39</c:v>
                </c:pt>
                <c:pt idx="3">
                  <c:v>40-49</c:v>
                </c:pt>
                <c:pt idx="4">
                  <c:v>50-59</c:v>
                </c:pt>
                <c:pt idx="5">
                  <c:v>60-69</c:v>
                </c:pt>
                <c:pt idx="6">
                  <c:v>70-79</c:v>
                </c:pt>
              </c:strCache>
            </c:strRef>
          </c:cat>
          <c:val>
            <c:numRef>
              <c:f>'Pivot Report'!$B$56:$B$63</c:f>
              <c:numCache>
                <c:formatCode>0</c:formatCode>
                <c:ptCount val="7"/>
                <c:pt idx="0">
                  <c:v>112</c:v>
                </c:pt>
                <c:pt idx="1">
                  <c:v>57</c:v>
                </c:pt>
                <c:pt idx="2">
                  <c:v>73</c:v>
                </c:pt>
                <c:pt idx="3">
                  <c:v>63</c:v>
                </c:pt>
                <c:pt idx="4">
                  <c:v>60</c:v>
                </c:pt>
                <c:pt idx="5">
                  <c:v>57</c:v>
                </c:pt>
                <c:pt idx="6">
                  <c:v>58</c:v>
                </c:pt>
              </c:numCache>
            </c:numRef>
          </c:val>
          <c:extLst>
            <c:ext xmlns:c16="http://schemas.microsoft.com/office/drawing/2014/chart" uri="{C3380CC4-5D6E-409C-BE32-E72D297353CC}">
              <c16:uniqueId val="{00000002-039E-468E-8E78-8FC2C046BA57}"/>
            </c:ext>
          </c:extLst>
        </c:ser>
        <c:dLbls>
          <c:showLegendKey val="0"/>
          <c:showVal val="0"/>
          <c:showCatName val="0"/>
          <c:showSerName val="0"/>
          <c:showPercent val="0"/>
          <c:showBubbleSize val="0"/>
        </c:dLbls>
        <c:gapWidth val="219"/>
        <c:overlap val="-27"/>
        <c:axId val="2126631727"/>
        <c:axId val="2126632143"/>
      </c:barChart>
      <c:catAx>
        <c:axId val="212663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26632143"/>
        <c:crosses val="autoZero"/>
        <c:auto val="1"/>
        <c:lblAlgn val="ctr"/>
        <c:lblOffset val="100"/>
        <c:noMultiLvlLbl val="0"/>
      </c:catAx>
      <c:valAx>
        <c:axId val="2126632143"/>
        <c:scaling>
          <c:orientation val="minMax"/>
        </c:scaling>
        <c:delete val="1"/>
        <c:axPos val="l"/>
        <c:numFmt formatCode="0" sourceLinked="1"/>
        <c:majorTickMark val="none"/>
        <c:minorTickMark val="none"/>
        <c:tickLblPos val="nextTo"/>
        <c:crossAx val="2126631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2.xlsx]Pivot Report!PivotTable9</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9504746082451602"/>
          <c:y val="0.2096044805718246"/>
          <c:w val="0.63017673493464343"/>
          <c:h val="0.75775752108834449"/>
        </c:manualLayout>
      </c:layout>
      <c:pieChart>
        <c:varyColors val="1"/>
        <c:ser>
          <c:idx val="0"/>
          <c:order val="0"/>
          <c:tx>
            <c:strRef>
              <c:f>'Pivot Report'!$B$67</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8BE7-4099-B5F5-972446945A20}"/>
              </c:ext>
            </c:extLst>
          </c:dPt>
          <c:dPt>
            <c:idx val="1"/>
            <c:bubble3D val="0"/>
            <c:spPr>
              <a:solidFill>
                <a:schemeClr val="accent2"/>
              </a:solidFill>
              <a:ln>
                <a:noFill/>
              </a:ln>
              <a:effectLst/>
            </c:spPr>
            <c:extLst>
              <c:ext xmlns:c16="http://schemas.microsoft.com/office/drawing/2014/chart" uri="{C3380CC4-5D6E-409C-BE32-E72D297353CC}">
                <c16:uniqueId val="{00000003-8BE7-4099-B5F5-972446945A2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Report'!$A$68:$A$70</c:f>
              <c:strCache>
                <c:ptCount val="2"/>
                <c:pt idx="0">
                  <c:v>Delay</c:v>
                </c:pt>
                <c:pt idx="1">
                  <c:v>Ontime</c:v>
                </c:pt>
              </c:strCache>
            </c:strRef>
          </c:cat>
          <c:val>
            <c:numRef>
              <c:f>'Pivot Report'!$B$68:$B$70</c:f>
              <c:numCache>
                <c:formatCode>0.00</c:formatCode>
                <c:ptCount val="2"/>
                <c:pt idx="0">
                  <c:v>267</c:v>
                </c:pt>
                <c:pt idx="1">
                  <c:v>213</c:v>
                </c:pt>
              </c:numCache>
            </c:numRef>
          </c:val>
          <c:extLst>
            <c:ext xmlns:c16="http://schemas.microsoft.com/office/drawing/2014/chart" uri="{C3380CC4-5D6E-409C-BE32-E72D297353CC}">
              <c16:uniqueId val="{00000006-CADA-42EE-9445-962140D2995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4.9999868271182211E-2"/>
          <c:y val="1.9337231822995841E-2"/>
          <c:w val="0.89999938526551704"/>
          <c:h val="0.16625082119942042"/>
        </c:manualLayout>
      </c:layout>
      <c:overlay val="0"/>
      <c:spPr>
        <a:solidFill>
          <a:schemeClr val="lt1">
            <a:alpha val="78000"/>
          </a:schemeClr>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2.xlsx]Pivot Report!PivotTable10</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9.0940207171817684E-3"/>
              <c:y val="0"/>
            </c:manualLayout>
          </c:layout>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c:spPr>
      </c:pivotFmt>
    </c:pivotFmts>
    <c:plotArea>
      <c:layout>
        <c:manualLayout>
          <c:layoutTarget val="inner"/>
          <c:xMode val="edge"/>
          <c:yMode val="edge"/>
          <c:x val="0.12462037404896115"/>
          <c:y val="0.26396050093420936"/>
          <c:w val="0.76581047543215441"/>
          <c:h val="0.6903958550508994"/>
        </c:manualLayout>
      </c:layout>
      <c:doughnutChart>
        <c:varyColors val="1"/>
        <c:ser>
          <c:idx val="0"/>
          <c:order val="0"/>
          <c:tx>
            <c:strRef>
              <c:f>'Pivot Report'!$B$74</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30E1-45FC-8B5D-ECD019AAD81D}"/>
              </c:ext>
            </c:extLst>
          </c:dPt>
          <c:dPt>
            <c:idx val="1"/>
            <c:bubble3D val="0"/>
            <c:spPr>
              <a:solidFill>
                <a:schemeClr val="accent2"/>
              </a:solidFill>
              <a:ln>
                <a:noFill/>
              </a:ln>
              <a:effectLst/>
            </c:spPr>
            <c:extLst>
              <c:ext xmlns:c16="http://schemas.microsoft.com/office/drawing/2014/chart" uri="{C3380CC4-5D6E-409C-BE32-E72D297353CC}">
                <c16:uniqueId val="{00000003-30E1-45FC-8B5D-ECD019AAD81D}"/>
              </c:ext>
            </c:extLst>
          </c:dPt>
          <c:dLbls>
            <c:dLbl>
              <c:idx val="0"/>
              <c:layout>
                <c:manualLayout>
                  <c:x val="-9.0940207171817684E-3"/>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0E1-45FC-8B5D-ECD019AAD81D}"/>
                </c:ext>
              </c:extLst>
            </c:dLbl>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Report'!$A$75:$A$77</c:f>
              <c:strCache>
                <c:ptCount val="2"/>
                <c:pt idx="0">
                  <c:v>Female</c:v>
                </c:pt>
                <c:pt idx="1">
                  <c:v>Male</c:v>
                </c:pt>
              </c:strCache>
            </c:strRef>
          </c:cat>
          <c:val>
            <c:numRef>
              <c:f>'Pivot Report'!$B$75:$B$77</c:f>
              <c:numCache>
                <c:formatCode>0.00</c:formatCode>
                <c:ptCount val="2"/>
                <c:pt idx="0">
                  <c:v>261</c:v>
                </c:pt>
                <c:pt idx="1">
                  <c:v>219</c:v>
                </c:pt>
              </c:numCache>
            </c:numRef>
          </c:val>
          <c:extLst>
            <c:ext xmlns:c16="http://schemas.microsoft.com/office/drawing/2014/chart" uri="{C3380CC4-5D6E-409C-BE32-E72D297353CC}">
              <c16:uniqueId val="{00000006-E730-4227-99E0-CF7154775A16}"/>
            </c:ext>
          </c:extLst>
        </c:ser>
        <c:dLbls>
          <c:showLegendKey val="0"/>
          <c:showVal val="0"/>
          <c:showCatName val="0"/>
          <c:showSerName val="0"/>
          <c:showPercent val="1"/>
          <c:showBubbleSize val="0"/>
          <c:showLeaderLines val="1"/>
        </c:dLbls>
        <c:firstSliceAng val="0"/>
        <c:holeSize val="35"/>
      </c:doughnutChart>
      <c:spPr>
        <a:noFill/>
        <a:ln>
          <a:noFill/>
        </a:ln>
        <a:effectLst/>
      </c:spPr>
    </c:plotArea>
    <c:legend>
      <c:legendPos val="t"/>
      <c:layout>
        <c:manualLayout>
          <c:xMode val="edge"/>
          <c:yMode val="edge"/>
          <c:x val="9.8995310674076048E-2"/>
          <c:y val="5.6296364156208374E-2"/>
          <c:w val="0.82312048791596781"/>
          <c:h val="0.1395691776667447"/>
        </c:manualLayout>
      </c:layout>
      <c:overlay val="0"/>
      <c:spPr>
        <a:solidFill>
          <a:schemeClr val="lt1">
            <a:alpha val="78000"/>
          </a:schemeClr>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2.xlsx]Pivot Report!PivotTable11</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602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800990614012045"/>
          <c:y val="1.8219178147697759E-2"/>
          <c:w val="0.60351427156662263"/>
          <c:h val="0.82018286216747616"/>
        </c:manualLayout>
      </c:layout>
      <c:barChart>
        <c:barDir val="bar"/>
        <c:grouping val="clustered"/>
        <c:varyColors val="0"/>
        <c:ser>
          <c:idx val="0"/>
          <c:order val="0"/>
          <c:tx>
            <c:strRef>
              <c:f>'Pivot Report'!$B$81</c:f>
              <c:strCache>
                <c:ptCount val="1"/>
                <c:pt idx="0">
                  <c:v>Total</c:v>
                </c:pt>
              </c:strCache>
            </c:strRef>
          </c:tx>
          <c:spPr>
            <a:solidFill>
              <a:srgbClr val="060234"/>
            </a:solidFill>
            <a:ln>
              <a:noFill/>
            </a:ln>
            <a:effectLst/>
          </c:spPr>
          <c:invertIfNegative val="0"/>
          <c:cat>
            <c:strRef>
              <c:f>'Pivot Report'!$A$82:$A$90</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Report'!$B$82:$B$90</c:f>
              <c:numCache>
                <c:formatCode>0</c:formatCode>
                <c:ptCount val="8"/>
                <c:pt idx="0">
                  <c:v>6</c:v>
                </c:pt>
                <c:pt idx="1">
                  <c:v>11</c:v>
                </c:pt>
                <c:pt idx="2">
                  <c:v>12</c:v>
                </c:pt>
                <c:pt idx="3">
                  <c:v>12</c:v>
                </c:pt>
                <c:pt idx="4">
                  <c:v>20</c:v>
                </c:pt>
                <c:pt idx="5">
                  <c:v>35</c:v>
                </c:pt>
                <c:pt idx="6">
                  <c:v>93</c:v>
                </c:pt>
                <c:pt idx="7">
                  <c:v>291</c:v>
                </c:pt>
              </c:numCache>
            </c:numRef>
          </c:val>
          <c:extLst>
            <c:ext xmlns:c16="http://schemas.microsoft.com/office/drawing/2014/chart" uri="{C3380CC4-5D6E-409C-BE32-E72D297353CC}">
              <c16:uniqueId val="{00000002-79DF-438A-A9F4-FE9DB28C52CF}"/>
            </c:ext>
          </c:extLst>
        </c:ser>
        <c:dLbls>
          <c:showLegendKey val="0"/>
          <c:showVal val="0"/>
          <c:showCatName val="0"/>
          <c:showSerName val="0"/>
          <c:showPercent val="0"/>
          <c:showBubbleSize val="0"/>
        </c:dLbls>
        <c:gapWidth val="50"/>
        <c:axId val="2114729151"/>
        <c:axId val="2114730399"/>
      </c:barChart>
      <c:catAx>
        <c:axId val="2114729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14730399"/>
        <c:crosses val="autoZero"/>
        <c:auto val="1"/>
        <c:lblAlgn val="ctr"/>
        <c:lblOffset val="100"/>
        <c:noMultiLvlLbl val="0"/>
      </c:catAx>
      <c:valAx>
        <c:axId val="2114730399"/>
        <c:scaling>
          <c:orientation val="minMax"/>
        </c:scaling>
        <c:delete val="1"/>
        <c:axPos val="b"/>
        <c:numFmt formatCode="0" sourceLinked="1"/>
        <c:majorTickMark val="none"/>
        <c:minorTickMark val="none"/>
        <c:tickLblPos val="nextTo"/>
        <c:crossAx val="2114729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2.xlsx]Pivot Report!PivotTable5</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373507304874468E-2"/>
          <c:y val="0.27006137692119003"/>
          <c:w val="0.92271753103472443"/>
          <c:h val="0.51241907838496137"/>
        </c:manualLayout>
      </c:layout>
      <c:areaChart>
        <c:grouping val="standard"/>
        <c:varyColors val="0"/>
        <c:ser>
          <c:idx val="0"/>
          <c:order val="0"/>
          <c:tx>
            <c:strRef>
              <c:f>'Pivot Report'!$D$4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Report'!$C$5:$C$36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Report'!$D$5:$D$36</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3-884C-464B-A3CF-69C2AE12037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27789407"/>
        <c:axId val="227796479"/>
      </c:areaChart>
      <c:catAx>
        <c:axId val="22778940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540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227796479"/>
        <c:crosses val="autoZero"/>
        <c:auto val="1"/>
        <c:lblAlgn val="ctr"/>
        <c:lblOffset val="100"/>
        <c:noMultiLvlLbl val="0"/>
      </c:catAx>
      <c:valAx>
        <c:axId val="227796479"/>
        <c:scaling>
          <c:orientation val="minMax"/>
        </c:scaling>
        <c:delete val="1"/>
        <c:axPos val="l"/>
        <c:numFmt formatCode="General" sourceLinked="1"/>
        <c:majorTickMark val="out"/>
        <c:minorTickMark val="none"/>
        <c:tickLblPos val="nextTo"/>
        <c:crossAx val="22778940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2.xlsx]Pivot Report!PivotTable4</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735043653073973E-2"/>
          <c:y val="0.43252005939488058"/>
          <c:w val="0.97726495634692601"/>
          <c:h val="0.56747994060511942"/>
        </c:manualLayout>
      </c:layout>
      <c:areaChart>
        <c:grouping val="standard"/>
        <c:varyColors val="0"/>
        <c:ser>
          <c:idx val="0"/>
          <c:order val="0"/>
          <c:tx>
            <c:strRef>
              <c:f>'Pivot Report'!$G$4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Report'!$F$5:$F$36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Report'!$G$5:$G$36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2-1471-4703-B52B-6DA6EAFEAA0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75965311"/>
        <c:axId val="1775966975"/>
      </c:areaChart>
      <c:catAx>
        <c:axId val="177596531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75966975"/>
        <c:crosses val="autoZero"/>
        <c:auto val="1"/>
        <c:lblAlgn val="ctr"/>
        <c:lblOffset val="100"/>
        <c:noMultiLvlLbl val="0"/>
      </c:catAx>
      <c:valAx>
        <c:axId val="1775966975"/>
        <c:scaling>
          <c:orientation val="minMax"/>
        </c:scaling>
        <c:delete val="1"/>
        <c:axPos val="l"/>
        <c:numFmt formatCode="0.00" sourceLinked="1"/>
        <c:majorTickMark val="out"/>
        <c:minorTickMark val="none"/>
        <c:tickLblPos val="nextTo"/>
        <c:crossAx val="177596531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lumMod val="6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2.xlsx]Pivot Report!PivotTable6</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983595800524932E-2"/>
          <c:y val="7.407407407407407E-2"/>
          <c:w val="0.87955096237970254"/>
          <c:h val="0.78808576464173863"/>
        </c:manualLayout>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Report'!$I$5:$I$35</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Report'!$J$5:$J$35</c:f>
              <c:numCache>
                <c:formatCode>0.00</c:formatCode>
                <c:ptCount val="30"/>
                <c:pt idx="0">
                  <c:v>11</c:v>
                </c:pt>
                <c:pt idx="1">
                  <c:v>20</c:v>
                </c:pt>
                <c:pt idx="2">
                  <c:v>30</c:v>
                </c:pt>
                <c:pt idx="3">
                  <c:v>24</c:v>
                </c:pt>
                <c:pt idx="4">
                  <c:v>22</c:v>
                </c:pt>
                <c:pt idx="5">
                  <c:v>21</c:v>
                </c:pt>
                <c:pt idx="6">
                  <c:v>24</c:v>
                </c:pt>
                <c:pt idx="7">
                  <c:v>18</c:v>
                </c:pt>
                <c:pt idx="8">
                  <c:v>25</c:v>
                </c:pt>
                <c:pt idx="9">
                  <c:v>16</c:v>
                </c:pt>
                <c:pt idx="10">
                  <c:v>22</c:v>
                </c:pt>
                <c:pt idx="11">
                  <c:v>13</c:v>
                </c:pt>
                <c:pt idx="12">
                  <c:v>18</c:v>
                </c:pt>
                <c:pt idx="13">
                  <c:v>10</c:v>
                </c:pt>
                <c:pt idx="14">
                  <c:v>67</c:v>
                </c:pt>
                <c:pt idx="15">
                  <c:v>62</c:v>
                </c:pt>
                <c:pt idx="16">
                  <c:v>11</c:v>
                </c:pt>
                <c:pt idx="17">
                  <c:v>9</c:v>
                </c:pt>
                <c:pt idx="18">
                  <c:v>30</c:v>
                </c:pt>
                <c:pt idx="19">
                  <c:v>23</c:v>
                </c:pt>
                <c:pt idx="20">
                  <c:v>22</c:v>
                </c:pt>
                <c:pt idx="21">
                  <c:v>28</c:v>
                </c:pt>
                <c:pt idx="22">
                  <c:v>13</c:v>
                </c:pt>
                <c:pt idx="23">
                  <c:v>12</c:v>
                </c:pt>
                <c:pt idx="24">
                  <c:v>22</c:v>
                </c:pt>
                <c:pt idx="25">
                  <c:v>16</c:v>
                </c:pt>
                <c:pt idx="26">
                  <c:v>19</c:v>
                </c:pt>
                <c:pt idx="27">
                  <c:v>12</c:v>
                </c:pt>
                <c:pt idx="28">
                  <c:v>16</c:v>
                </c:pt>
                <c:pt idx="29">
                  <c:v>25</c:v>
                </c:pt>
              </c:numCache>
            </c:numRef>
          </c:val>
          <c:extLst>
            <c:ext xmlns:c16="http://schemas.microsoft.com/office/drawing/2014/chart" uri="{C3380CC4-5D6E-409C-BE32-E72D297353CC}">
              <c16:uniqueId val="{00000002-1323-49E3-B653-0753B306E8E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09938463"/>
        <c:axId val="1909934303"/>
      </c:areaChart>
      <c:catAx>
        <c:axId val="190993846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270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1909934303"/>
        <c:crosses val="autoZero"/>
        <c:auto val="1"/>
        <c:lblAlgn val="ctr"/>
        <c:lblOffset val="100"/>
        <c:noMultiLvlLbl val="0"/>
      </c:catAx>
      <c:valAx>
        <c:axId val="1909934303"/>
        <c:scaling>
          <c:orientation val="minMax"/>
        </c:scaling>
        <c:delete val="1"/>
        <c:axPos val="l"/>
        <c:numFmt formatCode="0.00" sourceLinked="1"/>
        <c:majorTickMark val="out"/>
        <c:minorTickMark val="none"/>
        <c:tickLblPos val="nextTo"/>
        <c:crossAx val="190993846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hyperlink" Target="#'Average wait time daily trend'!A1"/><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5.emf"/><Relationship Id="rId5" Type="http://schemas.openxmlformats.org/officeDocument/2006/relationships/hyperlink" Target="#'Daliy ER no of patient'!A1"/><Relationship Id="rId15" Type="http://schemas.openxmlformats.org/officeDocument/2006/relationships/chart" Target="../charts/chart8.xml"/><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hyperlink" Target="#'Satisfaction score daily trends'!A1"/><Relationship Id="rId1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eboard!A1"/><Relationship Id="rId1" Type="http://schemas.openxmlformats.org/officeDocument/2006/relationships/chart" Target="../charts/chart9.xml"/><Relationship Id="rId5" Type="http://schemas.openxmlformats.org/officeDocument/2006/relationships/image" Target="../media/image9.png"/><Relationship Id="rId4"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hyperlink" Target="#Daseboard!A1"/><Relationship Id="rId2" Type="http://schemas.openxmlformats.org/officeDocument/2006/relationships/image" Target="../media/image10.png"/><Relationship Id="rId1" Type="http://schemas.openxmlformats.org/officeDocument/2006/relationships/chart" Target="../charts/chart10.xml"/><Relationship Id="rId4"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eboard!A1"/><Relationship Id="rId1" Type="http://schemas.openxmlformats.org/officeDocument/2006/relationships/image" Target="../media/image10.png"/><Relationship Id="rId4"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3</xdr:col>
      <xdr:colOff>20418</xdr:colOff>
      <xdr:row>49</xdr:row>
      <xdr:rowOff>188433</xdr:rowOff>
    </xdr:from>
    <xdr:to>
      <xdr:col>4</xdr:col>
      <xdr:colOff>87312</xdr:colOff>
      <xdr:row>51</xdr:row>
      <xdr:rowOff>163286</xdr:rowOff>
    </xdr:to>
    <xdr:graphicFrame macro="">
      <xdr:nvGraphicFramePr>
        <xdr:cNvPr id="5" name="Chart 4">
          <a:extLst>
            <a:ext uri="{FF2B5EF4-FFF2-40B4-BE49-F238E27FC236}">
              <a16:creationId xmlns:a16="http://schemas.microsoft.com/office/drawing/2014/main" id="{0630FE88-0FC0-44BC-A800-675659AE7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43691</xdr:colOff>
      <xdr:row>0</xdr:row>
      <xdr:rowOff>34955</xdr:rowOff>
    </xdr:from>
    <xdr:to>
      <xdr:col>4</xdr:col>
      <xdr:colOff>559265</xdr:colOff>
      <xdr:row>2</xdr:row>
      <xdr:rowOff>104864</xdr:rowOff>
    </xdr:to>
    <xdr:sp macro="" textlink="">
      <xdr:nvSpPr>
        <xdr:cNvPr id="2" name="Rectangle: Rounded Corners 1">
          <a:extLst>
            <a:ext uri="{FF2B5EF4-FFF2-40B4-BE49-F238E27FC236}">
              <a16:creationId xmlns:a16="http://schemas.microsoft.com/office/drawing/2014/main" id="{D4807E5B-8118-4DED-AFD0-2AB279902B37}"/>
            </a:ext>
          </a:extLst>
        </xdr:cNvPr>
        <xdr:cNvSpPr/>
      </xdr:nvSpPr>
      <xdr:spPr>
        <a:xfrm>
          <a:off x="43691" y="34955"/>
          <a:ext cx="2962363" cy="454404"/>
        </a:xfrm>
        <a:prstGeom prst="roundRect">
          <a:avLst>
            <a:gd name="adj" fmla="val 15055"/>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594220</xdr:colOff>
      <xdr:row>0</xdr:row>
      <xdr:rowOff>34952</xdr:rowOff>
    </xdr:from>
    <xdr:to>
      <xdr:col>7</xdr:col>
      <xdr:colOff>21486</xdr:colOff>
      <xdr:row>2</xdr:row>
      <xdr:rowOff>104861</xdr:rowOff>
    </xdr:to>
    <xdr:sp macro="" textlink="">
      <xdr:nvSpPr>
        <xdr:cNvPr id="3" name="Rectangle: Rounded Corners 2">
          <a:extLst>
            <a:ext uri="{FF2B5EF4-FFF2-40B4-BE49-F238E27FC236}">
              <a16:creationId xmlns:a16="http://schemas.microsoft.com/office/drawing/2014/main" id="{0C9A33EB-4252-4C7E-BA11-E5A5CF2BB391}"/>
            </a:ext>
          </a:extLst>
        </xdr:cNvPr>
        <xdr:cNvSpPr/>
      </xdr:nvSpPr>
      <xdr:spPr>
        <a:xfrm>
          <a:off x="3029182" y="34952"/>
          <a:ext cx="1253488" cy="456638"/>
        </a:xfrm>
        <a:prstGeom prst="roundRect">
          <a:avLst>
            <a:gd name="adj" fmla="val 15055"/>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50132</xdr:colOff>
      <xdr:row>0</xdr:row>
      <xdr:rowOff>43692</xdr:rowOff>
    </xdr:from>
    <xdr:to>
      <xdr:col>9</xdr:col>
      <xdr:colOff>293628</xdr:colOff>
      <xdr:row>6</xdr:row>
      <xdr:rowOff>21485</xdr:rowOff>
    </xdr:to>
    <xdr:sp macro="" textlink="">
      <xdr:nvSpPr>
        <xdr:cNvPr id="4" name="Rectangle: Rounded Corners 3">
          <a:extLst>
            <a:ext uri="{FF2B5EF4-FFF2-40B4-BE49-F238E27FC236}">
              <a16:creationId xmlns:a16="http://schemas.microsoft.com/office/drawing/2014/main" id="{D2372B96-F904-4602-81E3-E93971C5630B}"/>
            </a:ext>
          </a:extLst>
        </xdr:cNvPr>
        <xdr:cNvSpPr/>
      </xdr:nvSpPr>
      <xdr:spPr>
        <a:xfrm>
          <a:off x="4311316" y="43692"/>
          <a:ext cx="1460977" cy="1137981"/>
        </a:xfrm>
        <a:prstGeom prst="roundRect">
          <a:avLst>
            <a:gd name="adj" fmla="val 7026"/>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52431</xdr:colOff>
      <xdr:row>2</xdr:row>
      <xdr:rowOff>148553</xdr:rowOff>
    </xdr:from>
    <xdr:to>
      <xdr:col>1</xdr:col>
      <xdr:colOff>257819</xdr:colOff>
      <xdr:row>17</xdr:row>
      <xdr:rowOff>21485</xdr:rowOff>
    </xdr:to>
    <xdr:sp macro="" textlink="">
      <xdr:nvSpPr>
        <xdr:cNvPr id="6" name="Rectangle: Rounded Corners 5">
          <a:extLst>
            <a:ext uri="{FF2B5EF4-FFF2-40B4-BE49-F238E27FC236}">
              <a16:creationId xmlns:a16="http://schemas.microsoft.com/office/drawing/2014/main" id="{B68A0B43-1F9D-48DC-A835-5EDBA181C710}"/>
            </a:ext>
          </a:extLst>
        </xdr:cNvPr>
        <xdr:cNvSpPr/>
      </xdr:nvSpPr>
      <xdr:spPr>
        <a:xfrm>
          <a:off x="52431" y="535282"/>
          <a:ext cx="814129" cy="2773402"/>
        </a:xfrm>
        <a:prstGeom prst="roundRect">
          <a:avLst>
            <a:gd name="adj" fmla="val 7026"/>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292515</xdr:colOff>
      <xdr:row>2</xdr:row>
      <xdr:rowOff>148556</xdr:rowOff>
    </xdr:from>
    <xdr:to>
      <xdr:col>3</xdr:col>
      <xdr:colOff>170175</xdr:colOff>
      <xdr:row>6</xdr:row>
      <xdr:rowOff>8738</xdr:rowOff>
    </xdr:to>
    <xdr:sp macro="" textlink="">
      <xdr:nvSpPr>
        <xdr:cNvPr id="7" name="Rectangle: Rounded Corners 6">
          <a:extLst>
            <a:ext uri="{FF2B5EF4-FFF2-40B4-BE49-F238E27FC236}">
              <a16:creationId xmlns:a16="http://schemas.microsoft.com/office/drawing/2014/main" id="{A65EC911-B910-436A-9497-572485B48EA5}"/>
            </a:ext>
          </a:extLst>
        </xdr:cNvPr>
        <xdr:cNvSpPr/>
      </xdr:nvSpPr>
      <xdr:spPr>
        <a:xfrm>
          <a:off x="901256" y="535285"/>
          <a:ext cx="1095141" cy="633641"/>
        </a:xfrm>
        <a:prstGeom prst="roundRect">
          <a:avLst>
            <a:gd name="adj" fmla="val 7026"/>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205130</xdr:colOff>
      <xdr:row>2</xdr:row>
      <xdr:rowOff>148554</xdr:rowOff>
    </xdr:from>
    <xdr:to>
      <xdr:col>5</xdr:col>
      <xdr:colOff>85747</xdr:colOff>
      <xdr:row>6</xdr:row>
      <xdr:rowOff>8739</xdr:rowOff>
    </xdr:to>
    <xdr:sp macro="" textlink="">
      <xdr:nvSpPr>
        <xdr:cNvPr id="8" name="Rectangle: Rounded Corners 7">
          <a:extLst>
            <a:ext uri="{FF2B5EF4-FFF2-40B4-BE49-F238E27FC236}">
              <a16:creationId xmlns:a16="http://schemas.microsoft.com/office/drawing/2014/main" id="{6ECBD7DF-7E44-4239-96BC-C2340D23B416}"/>
            </a:ext>
          </a:extLst>
        </xdr:cNvPr>
        <xdr:cNvSpPr/>
      </xdr:nvSpPr>
      <xdr:spPr>
        <a:xfrm>
          <a:off x="2031352" y="535283"/>
          <a:ext cx="1098098" cy="633644"/>
        </a:xfrm>
        <a:prstGeom prst="roundRect">
          <a:avLst>
            <a:gd name="adj" fmla="val 7026"/>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124906</xdr:colOff>
      <xdr:row>2</xdr:row>
      <xdr:rowOff>152399</xdr:rowOff>
    </xdr:from>
    <xdr:to>
      <xdr:col>7</xdr:col>
      <xdr:colOff>23002</xdr:colOff>
      <xdr:row>6</xdr:row>
      <xdr:rowOff>8739</xdr:rowOff>
    </xdr:to>
    <xdr:sp macro="" textlink="">
      <xdr:nvSpPr>
        <xdr:cNvPr id="9" name="Rectangle: Rounded Corners 8">
          <a:extLst>
            <a:ext uri="{FF2B5EF4-FFF2-40B4-BE49-F238E27FC236}">
              <a16:creationId xmlns:a16="http://schemas.microsoft.com/office/drawing/2014/main" id="{524B2D12-D400-427D-B0FC-BFF797E565D2}"/>
            </a:ext>
          </a:extLst>
        </xdr:cNvPr>
        <xdr:cNvSpPr/>
      </xdr:nvSpPr>
      <xdr:spPr>
        <a:xfrm>
          <a:off x="3168609" y="539128"/>
          <a:ext cx="1115577" cy="629799"/>
        </a:xfrm>
        <a:prstGeom prst="roundRect">
          <a:avLst>
            <a:gd name="adj" fmla="val 7026"/>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292517</xdr:colOff>
      <xdr:row>8</xdr:row>
      <xdr:rowOff>128910</xdr:rowOff>
    </xdr:from>
    <xdr:to>
      <xdr:col>7</xdr:col>
      <xdr:colOff>24579</xdr:colOff>
      <xdr:row>17</xdr:row>
      <xdr:rowOff>14324</xdr:rowOff>
    </xdr:to>
    <xdr:sp macro="" textlink="">
      <xdr:nvSpPr>
        <xdr:cNvPr id="11" name="Rectangle: Rounded Corners 10">
          <a:extLst>
            <a:ext uri="{FF2B5EF4-FFF2-40B4-BE49-F238E27FC236}">
              <a16:creationId xmlns:a16="http://schemas.microsoft.com/office/drawing/2014/main" id="{B42E97BF-B1DA-4920-BDE2-808B5A52E6CF}"/>
            </a:ext>
          </a:extLst>
        </xdr:cNvPr>
        <xdr:cNvSpPr/>
      </xdr:nvSpPr>
      <xdr:spPr>
        <a:xfrm>
          <a:off x="901258" y="1675827"/>
          <a:ext cx="3384505" cy="1625696"/>
        </a:xfrm>
        <a:prstGeom prst="roundRect">
          <a:avLst>
            <a:gd name="adj" fmla="val 3453"/>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50132</xdr:colOff>
      <xdr:row>6</xdr:row>
      <xdr:rowOff>57293</xdr:rowOff>
    </xdr:from>
    <xdr:to>
      <xdr:col>11</xdr:col>
      <xdr:colOff>537123</xdr:colOff>
      <xdr:row>17</xdr:row>
      <xdr:rowOff>50132</xdr:rowOff>
    </xdr:to>
    <xdr:sp macro="" textlink="">
      <xdr:nvSpPr>
        <xdr:cNvPr id="14" name="Rectangle: Rounded Corners 13">
          <a:extLst>
            <a:ext uri="{FF2B5EF4-FFF2-40B4-BE49-F238E27FC236}">
              <a16:creationId xmlns:a16="http://schemas.microsoft.com/office/drawing/2014/main" id="{B5DD9E2A-B6F9-4864-BC03-90C6CC769248}"/>
            </a:ext>
          </a:extLst>
        </xdr:cNvPr>
        <xdr:cNvSpPr/>
      </xdr:nvSpPr>
      <xdr:spPr>
        <a:xfrm>
          <a:off x="4311316" y="1217481"/>
          <a:ext cx="2921954" cy="2119850"/>
        </a:xfrm>
        <a:prstGeom prst="roundRect">
          <a:avLst>
            <a:gd name="adj" fmla="val 6128"/>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52452</xdr:colOff>
      <xdr:row>0</xdr:row>
      <xdr:rowOff>87385</xdr:rowOff>
    </xdr:from>
    <xdr:to>
      <xdr:col>4</xdr:col>
      <xdr:colOff>428208</xdr:colOff>
      <xdr:row>1</xdr:row>
      <xdr:rowOff>113602</xdr:rowOff>
    </xdr:to>
    <xdr:sp macro="" textlink="">
      <xdr:nvSpPr>
        <xdr:cNvPr id="15" name="TextBox 14">
          <a:extLst>
            <a:ext uri="{FF2B5EF4-FFF2-40B4-BE49-F238E27FC236}">
              <a16:creationId xmlns:a16="http://schemas.microsoft.com/office/drawing/2014/main" id="{AB6BE830-431D-4A51-92B9-6404D8BC0A92}"/>
            </a:ext>
          </a:extLst>
        </xdr:cNvPr>
        <xdr:cNvSpPr txBox="1"/>
      </xdr:nvSpPr>
      <xdr:spPr>
        <a:xfrm>
          <a:off x="664149" y="87385"/>
          <a:ext cx="2210848" cy="218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b="0" i="0"/>
            <a:t>Hospital</a:t>
          </a:r>
          <a:r>
            <a:rPr lang="en-US" sz="1100" b="0" i="0" baseline="0"/>
            <a:t> Emergency Room Dashboard</a:t>
          </a:r>
          <a:endParaRPr lang="en-US" sz="1100" b="0" i="0"/>
        </a:p>
      </xdr:txBody>
    </xdr:sp>
    <xdr:clientData/>
  </xdr:twoCellAnchor>
  <xdr:twoCellAnchor editAs="oneCell">
    <xdr:from>
      <xdr:col>0</xdr:col>
      <xdr:colOff>52430</xdr:colOff>
      <xdr:row>0</xdr:row>
      <xdr:rowOff>10316</xdr:rowOff>
    </xdr:from>
    <xdr:to>
      <xdr:col>1</xdr:col>
      <xdr:colOff>28646</xdr:colOff>
      <xdr:row>2</xdr:row>
      <xdr:rowOff>150133</xdr:rowOff>
    </xdr:to>
    <xdr:pic>
      <xdr:nvPicPr>
        <xdr:cNvPr id="17" name="Picture 16">
          <a:extLst>
            <a:ext uri="{FF2B5EF4-FFF2-40B4-BE49-F238E27FC236}">
              <a16:creationId xmlns:a16="http://schemas.microsoft.com/office/drawing/2014/main" id="{F97F4C62-9D31-4C10-8BA4-59B4C0145EB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0327" t="1667" r="20232" b="-1667"/>
        <a:stretch/>
      </xdr:blipFill>
      <xdr:spPr>
        <a:xfrm>
          <a:off x="52430" y="10316"/>
          <a:ext cx="584957" cy="526546"/>
        </a:xfrm>
        <a:prstGeom prst="rect">
          <a:avLst/>
        </a:prstGeom>
      </xdr:spPr>
    </xdr:pic>
    <xdr:clientData/>
  </xdr:twoCellAnchor>
  <xdr:twoCellAnchor editAs="absolute">
    <xdr:from>
      <xdr:col>1</xdr:col>
      <xdr:colOff>522795</xdr:colOff>
      <xdr:row>1</xdr:row>
      <xdr:rowOff>32094</xdr:rowOff>
    </xdr:from>
    <xdr:to>
      <xdr:col>3</xdr:col>
      <xdr:colOff>379563</xdr:colOff>
      <xdr:row>2</xdr:row>
      <xdr:rowOff>58312</xdr:rowOff>
    </xdr:to>
    <xdr:sp macro="" textlink="">
      <xdr:nvSpPr>
        <xdr:cNvPr id="40" name="TextBox 39">
          <a:extLst>
            <a:ext uri="{FF2B5EF4-FFF2-40B4-BE49-F238E27FC236}">
              <a16:creationId xmlns:a16="http://schemas.microsoft.com/office/drawing/2014/main" id="{3ED85792-5C80-49E6-8EC2-786949C0F976}"/>
            </a:ext>
          </a:extLst>
        </xdr:cNvPr>
        <xdr:cNvSpPr txBox="1"/>
      </xdr:nvSpPr>
      <xdr:spPr>
        <a:xfrm>
          <a:off x="1131536" y="225459"/>
          <a:ext cx="1074249" cy="219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b="0" i="0"/>
            <a:t>Monthly</a:t>
          </a:r>
          <a:r>
            <a:rPr lang="en-US" sz="900" b="0" i="0" baseline="0"/>
            <a:t> Report</a:t>
          </a:r>
          <a:endParaRPr lang="en-US" sz="900" b="0" i="0"/>
        </a:p>
      </xdr:txBody>
    </xdr:sp>
    <xdr:clientData/>
  </xdr:twoCellAnchor>
  <xdr:twoCellAnchor editAs="absolute">
    <xdr:from>
      <xdr:col>1</xdr:col>
      <xdr:colOff>216856</xdr:colOff>
      <xdr:row>3</xdr:row>
      <xdr:rowOff>148695</xdr:rowOff>
    </xdr:from>
    <xdr:to>
      <xdr:col>3</xdr:col>
      <xdr:colOff>73624</xdr:colOff>
      <xdr:row>4</xdr:row>
      <xdr:rowOff>174912</xdr:rowOff>
    </xdr:to>
    <xdr:sp macro="" textlink="">
      <xdr:nvSpPr>
        <xdr:cNvPr id="42" name="TextBox 41">
          <a:extLst>
            <a:ext uri="{FF2B5EF4-FFF2-40B4-BE49-F238E27FC236}">
              <a16:creationId xmlns:a16="http://schemas.microsoft.com/office/drawing/2014/main" id="{5BE468DB-5462-4C2C-B29F-A1EA271D3CDF}"/>
            </a:ext>
          </a:extLst>
        </xdr:cNvPr>
        <xdr:cNvSpPr txBox="1"/>
      </xdr:nvSpPr>
      <xdr:spPr>
        <a:xfrm>
          <a:off x="825597" y="728789"/>
          <a:ext cx="1074249" cy="219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b="1" i="0">
              <a:latin typeface="+mn-lt"/>
            </a:rPr>
            <a:t>No. of patient</a:t>
          </a:r>
        </a:p>
      </xdr:txBody>
    </xdr:sp>
    <xdr:clientData/>
  </xdr:twoCellAnchor>
  <xdr:twoCellAnchor editAs="absolute">
    <xdr:from>
      <xdr:col>1</xdr:col>
      <xdr:colOff>247508</xdr:colOff>
      <xdr:row>2</xdr:row>
      <xdr:rowOff>186509</xdr:rowOff>
    </xdr:from>
    <xdr:to>
      <xdr:col>3</xdr:col>
      <xdr:colOff>104276</xdr:colOff>
      <xdr:row>4</xdr:row>
      <xdr:rowOff>19361</xdr:rowOff>
    </xdr:to>
    <xdr:sp macro="" textlink="'Pivot Report'!A5">
      <xdr:nvSpPr>
        <xdr:cNvPr id="43" name="TextBox 42">
          <a:extLst>
            <a:ext uri="{FF2B5EF4-FFF2-40B4-BE49-F238E27FC236}">
              <a16:creationId xmlns:a16="http://schemas.microsoft.com/office/drawing/2014/main" id="{DAEF08C6-5B2D-4B54-AD1B-893245FD9A6D}"/>
            </a:ext>
          </a:extLst>
        </xdr:cNvPr>
        <xdr:cNvSpPr txBox="1"/>
      </xdr:nvSpPr>
      <xdr:spPr>
        <a:xfrm>
          <a:off x="856249" y="573238"/>
          <a:ext cx="1074249" cy="219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C7989A4C-1FD9-4353-B73D-A047A48161A8}" type="TxLink">
            <a:rPr lang="en-US" sz="1100" b="0" i="0" u="none" strike="noStrike">
              <a:solidFill>
                <a:srgbClr val="000000"/>
              </a:solidFill>
              <a:latin typeface="Calibri"/>
              <a:ea typeface="Calibri"/>
              <a:cs typeface="Calibri"/>
            </a:rPr>
            <a:pPr algn="ctr"/>
            <a:t>480</a:t>
          </a:fld>
          <a:endParaRPr lang="en-US" sz="900" b="0" i="0"/>
        </a:p>
      </xdr:txBody>
    </xdr:sp>
    <xdr:clientData/>
  </xdr:twoCellAnchor>
  <xdr:twoCellAnchor editAs="absolute">
    <xdr:from>
      <xdr:col>3</xdr:col>
      <xdr:colOff>161567</xdr:colOff>
      <xdr:row>3</xdr:row>
      <xdr:rowOff>165024</xdr:rowOff>
    </xdr:from>
    <xdr:to>
      <xdr:col>5</xdr:col>
      <xdr:colOff>18335</xdr:colOff>
      <xdr:row>4</xdr:row>
      <xdr:rowOff>128908</xdr:rowOff>
    </xdr:to>
    <xdr:sp macro="" textlink="">
      <xdr:nvSpPr>
        <xdr:cNvPr id="46" name="TextBox 45">
          <a:extLst>
            <a:ext uri="{FF2B5EF4-FFF2-40B4-BE49-F238E27FC236}">
              <a16:creationId xmlns:a16="http://schemas.microsoft.com/office/drawing/2014/main" id="{1B460755-1DA8-42DE-87B7-8C1FA768334B}"/>
            </a:ext>
          </a:extLst>
        </xdr:cNvPr>
        <xdr:cNvSpPr txBox="1"/>
      </xdr:nvSpPr>
      <xdr:spPr>
        <a:xfrm>
          <a:off x="1987789" y="745118"/>
          <a:ext cx="1074249" cy="157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b="1" i="0">
              <a:latin typeface="+mn-lt"/>
            </a:rPr>
            <a:t>Average wait</a:t>
          </a:r>
          <a:r>
            <a:rPr lang="en-US" sz="800" b="1" i="0" baseline="0">
              <a:latin typeface="+mn-lt"/>
            </a:rPr>
            <a:t> Time</a:t>
          </a:r>
          <a:endParaRPr lang="en-US" sz="800" b="1" i="0">
            <a:latin typeface="Calibri "/>
          </a:endParaRPr>
        </a:p>
      </xdr:txBody>
    </xdr:sp>
    <xdr:clientData/>
  </xdr:twoCellAnchor>
  <xdr:twoCellAnchor editAs="absolute">
    <xdr:from>
      <xdr:col>3</xdr:col>
      <xdr:colOff>192221</xdr:colOff>
      <xdr:row>2</xdr:row>
      <xdr:rowOff>188514</xdr:rowOff>
    </xdr:from>
    <xdr:to>
      <xdr:col>5</xdr:col>
      <xdr:colOff>48989</xdr:colOff>
      <xdr:row>3</xdr:row>
      <xdr:rowOff>179040</xdr:rowOff>
    </xdr:to>
    <xdr:sp macro="" textlink="'Pivot Report'!A13">
      <xdr:nvSpPr>
        <xdr:cNvPr id="47" name="TextBox 46">
          <a:extLst>
            <a:ext uri="{FF2B5EF4-FFF2-40B4-BE49-F238E27FC236}">
              <a16:creationId xmlns:a16="http://schemas.microsoft.com/office/drawing/2014/main" id="{0CF924C7-3D63-4391-8861-45B5953F0759}"/>
            </a:ext>
          </a:extLst>
        </xdr:cNvPr>
        <xdr:cNvSpPr txBox="1"/>
      </xdr:nvSpPr>
      <xdr:spPr>
        <a:xfrm>
          <a:off x="2018443" y="575243"/>
          <a:ext cx="1074249" cy="183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1A27083-9E31-4500-A22C-75C1F261C9C9}" type="TxLink">
            <a:rPr lang="en-US" sz="1100" b="0" i="0" u="none" strike="noStrike">
              <a:solidFill>
                <a:srgbClr val="000000"/>
              </a:solidFill>
              <a:latin typeface="Calibri"/>
              <a:ea typeface="Calibri"/>
              <a:cs typeface="Calibri"/>
            </a:rPr>
            <a:pPr algn="ctr"/>
            <a:t>5.16</a:t>
          </a:fld>
          <a:endParaRPr lang="en-US" sz="900" b="0" i="0"/>
        </a:p>
      </xdr:txBody>
    </xdr:sp>
    <xdr:clientData/>
  </xdr:twoCellAnchor>
  <xdr:twoCellAnchor editAs="absolute">
    <xdr:from>
      <xdr:col>5</xdr:col>
      <xdr:colOff>70475</xdr:colOff>
      <xdr:row>3</xdr:row>
      <xdr:rowOff>124057</xdr:rowOff>
    </xdr:from>
    <xdr:to>
      <xdr:col>7</xdr:col>
      <xdr:colOff>64460</xdr:colOff>
      <xdr:row>4</xdr:row>
      <xdr:rowOff>150274</xdr:rowOff>
    </xdr:to>
    <xdr:sp macro="" textlink="">
      <xdr:nvSpPr>
        <xdr:cNvPr id="48" name="TextBox 47">
          <a:extLst>
            <a:ext uri="{FF2B5EF4-FFF2-40B4-BE49-F238E27FC236}">
              <a16:creationId xmlns:a16="http://schemas.microsoft.com/office/drawing/2014/main" id="{ED2350E9-7986-4329-AC97-CC151EB06501}"/>
            </a:ext>
          </a:extLst>
        </xdr:cNvPr>
        <xdr:cNvSpPr txBox="1"/>
      </xdr:nvSpPr>
      <xdr:spPr>
        <a:xfrm>
          <a:off x="3114178" y="704151"/>
          <a:ext cx="1211466" cy="219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b="1" i="0">
              <a:latin typeface="+mn-lt"/>
            </a:rPr>
            <a:t>Patient Satisfaction</a:t>
          </a:r>
          <a:r>
            <a:rPr lang="en-US" sz="800" b="1" i="0" baseline="0">
              <a:latin typeface="+mn-lt"/>
            </a:rPr>
            <a:t> Score</a:t>
          </a:r>
          <a:endParaRPr lang="en-US" sz="800" b="1" i="0">
            <a:latin typeface="Calibri "/>
          </a:endParaRPr>
        </a:p>
      </xdr:txBody>
    </xdr:sp>
    <xdr:clientData/>
  </xdr:twoCellAnchor>
  <xdr:twoCellAnchor editAs="absolute">
    <xdr:from>
      <xdr:col>5</xdr:col>
      <xdr:colOff>58154</xdr:colOff>
      <xdr:row>2</xdr:row>
      <xdr:rowOff>176196</xdr:rowOff>
    </xdr:from>
    <xdr:to>
      <xdr:col>6</xdr:col>
      <xdr:colOff>523662</xdr:colOff>
      <xdr:row>4</xdr:row>
      <xdr:rowOff>9048</xdr:rowOff>
    </xdr:to>
    <xdr:sp macro="" textlink="'Pivot Report'!A10">
      <xdr:nvSpPr>
        <xdr:cNvPr id="49" name="TextBox 48">
          <a:extLst>
            <a:ext uri="{FF2B5EF4-FFF2-40B4-BE49-F238E27FC236}">
              <a16:creationId xmlns:a16="http://schemas.microsoft.com/office/drawing/2014/main" id="{ECC74E37-1FB4-408E-9CE7-B09CCEA5E403}"/>
            </a:ext>
          </a:extLst>
        </xdr:cNvPr>
        <xdr:cNvSpPr txBox="1"/>
      </xdr:nvSpPr>
      <xdr:spPr>
        <a:xfrm>
          <a:off x="3101857" y="562925"/>
          <a:ext cx="1074249" cy="219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39055D1-91C1-438B-9CA6-90AE05B57601}" type="TxLink">
            <a:rPr lang="en-US" sz="1100" b="0" i="0" u="none" strike="noStrike">
              <a:solidFill>
                <a:srgbClr val="000000"/>
              </a:solidFill>
              <a:latin typeface="Calibri"/>
              <a:ea typeface="Calibri"/>
              <a:cs typeface="Calibri"/>
            </a:rPr>
            <a:pPr algn="ctr"/>
            <a:t>34.43</a:t>
          </a:fld>
          <a:endParaRPr lang="en-US" sz="900" b="0" i="0"/>
        </a:p>
      </xdr:txBody>
    </xdr:sp>
    <xdr:clientData/>
  </xdr:twoCellAnchor>
  <xdr:twoCellAnchor editAs="oneCell">
    <xdr:from>
      <xdr:col>4</xdr:col>
      <xdr:colOff>465514</xdr:colOff>
      <xdr:row>2</xdr:row>
      <xdr:rowOff>186202</xdr:rowOff>
    </xdr:from>
    <xdr:to>
      <xdr:col>5</xdr:col>
      <xdr:colOff>57298</xdr:colOff>
      <xdr:row>3</xdr:row>
      <xdr:rowOff>167830</xdr:rowOff>
    </xdr:to>
    <xdr:pic>
      <xdr:nvPicPr>
        <xdr:cNvPr id="22" name="Picture 21" descr="Hourglass ">
          <a:extLst>
            <a:ext uri="{FF2B5EF4-FFF2-40B4-BE49-F238E27FC236}">
              <a16:creationId xmlns:a16="http://schemas.microsoft.com/office/drawing/2014/main" id="{7354DF92-420C-4F9F-9AFA-94B258522B0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900476" y="572931"/>
          <a:ext cx="200525" cy="174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551456</xdr:colOff>
      <xdr:row>3</xdr:row>
      <xdr:rowOff>14325</xdr:rowOff>
    </xdr:from>
    <xdr:to>
      <xdr:col>3</xdr:col>
      <xdr:colOff>150396</xdr:colOff>
      <xdr:row>4</xdr:row>
      <xdr:rowOff>0</xdr:rowOff>
    </xdr:to>
    <xdr:pic>
      <xdr:nvPicPr>
        <xdr:cNvPr id="23" name="Picture 22" descr="User ">
          <a:extLst>
            <a:ext uri="{FF2B5EF4-FFF2-40B4-BE49-F238E27FC236}">
              <a16:creationId xmlns:a16="http://schemas.microsoft.com/office/drawing/2014/main" id="{D4BE9665-0746-4F5C-9EF2-F8EE7F98A1B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68937" y="594419"/>
          <a:ext cx="207681" cy="179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365248</xdr:colOff>
      <xdr:row>2</xdr:row>
      <xdr:rowOff>179041</xdr:rowOff>
    </xdr:from>
    <xdr:to>
      <xdr:col>6</xdr:col>
      <xdr:colOff>558610</xdr:colOff>
      <xdr:row>3</xdr:row>
      <xdr:rowOff>164717</xdr:rowOff>
    </xdr:to>
    <xdr:pic>
      <xdr:nvPicPr>
        <xdr:cNvPr id="24" name="Picture 23" descr="Feedback ">
          <a:extLst>
            <a:ext uri="{FF2B5EF4-FFF2-40B4-BE49-F238E27FC236}">
              <a16:creationId xmlns:a16="http://schemas.microsoft.com/office/drawing/2014/main" id="{6BC5C1F9-8574-4293-BC41-67BA2609353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017692" y="565770"/>
          <a:ext cx="193362" cy="179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78777</xdr:colOff>
      <xdr:row>2</xdr:row>
      <xdr:rowOff>164715</xdr:rowOff>
    </xdr:from>
    <xdr:to>
      <xdr:col>1</xdr:col>
      <xdr:colOff>229171</xdr:colOff>
      <xdr:row>17</xdr:row>
      <xdr:rowOff>7445</xdr:rowOff>
    </xdr:to>
    <mc:AlternateContent xmlns:mc="http://schemas.openxmlformats.org/markup-compatibility/2006" xmlns:a14="http://schemas.microsoft.com/office/drawing/2010/main">
      <mc:Choice Requires="a14">
        <xdr:graphicFrame macro="">
          <xdr:nvGraphicFramePr>
            <xdr:cNvPr id="25" name="Date (Month)">
              <a:extLst>
                <a:ext uri="{FF2B5EF4-FFF2-40B4-BE49-F238E27FC236}">
                  <a16:creationId xmlns:a16="http://schemas.microsoft.com/office/drawing/2014/main" id="{D22982A1-F1B7-4022-825E-F3866D739D27}"/>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78777" y="551444"/>
              <a:ext cx="759135" cy="274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200522</xdr:colOff>
      <xdr:row>2</xdr:row>
      <xdr:rowOff>50129</xdr:rowOff>
    </xdr:from>
    <xdr:to>
      <xdr:col>3</xdr:col>
      <xdr:colOff>315108</xdr:colOff>
      <xdr:row>6</xdr:row>
      <xdr:rowOff>7162</xdr:rowOff>
    </xdr:to>
    <xdr:graphicFrame macro="">
      <xdr:nvGraphicFramePr>
        <xdr:cNvPr id="28" name="Chart 27">
          <a:hlinkClick xmlns:r="http://schemas.openxmlformats.org/officeDocument/2006/relationships" r:id="rId5"/>
          <a:extLst>
            <a:ext uri="{FF2B5EF4-FFF2-40B4-BE49-F238E27FC236}">
              <a16:creationId xmlns:a16="http://schemas.microsoft.com/office/drawing/2014/main" id="{F20CCFE9-C830-4D4D-B2BB-DE01122F09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193365</xdr:colOff>
      <xdr:row>4</xdr:row>
      <xdr:rowOff>21485</xdr:rowOff>
    </xdr:from>
    <xdr:to>
      <xdr:col>5</xdr:col>
      <xdr:colOff>85939</xdr:colOff>
      <xdr:row>6</xdr:row>
      <xdr:rowOff>0</xdr:rowOff>
    </xdr:to>
    <xdr:graphicFrame macro="">
      <xdr:nvGraphicFramePr>
        <xdr:cNvPr id="27" name="Chart 26">
          <a:hlinkClick xmlns:r="http://schemas.openxmlformats.org/officeDocument/2006/relationships" r:id="rId7"/>
          <a:extLst>
            <a:ext uri="{FF2B5EF4-FFF2-40B4-BE49-F238E27FC236}">
              <a16:creationId xmlns:a16="http://schemas.microsoft.com/office/drawing/2014/main" id="{3ADA2745-5F8F-41F7-8288-B262EB222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128908</xdr:colOff>
      <xdr:row>3</xdr:row>
      <xdr:rowOff>143233</xdr:rowOff>
    </xdr:from>
    <xdr:to>
      <xdr:col>7</xdr:col>
      <xdr:colOff>28646</xdr:colOff>
      <xdr:row>6</xdr:row>
      <xdr:rowOff>151</xdr:rowOff>
    </xdr:to>
    <xdr:graphicFrame macro="">
      <xdr:nvGraphicFramePr>
        <xdr:cNvPr id="29" name="Chart 28">
          <a:hlinkClick xmlns:r="http://schemas.openxmlformats.org/officeDocument/2006/relationships" r:id="rId9"/>
          <a:extLst>
            <a:ext uri="{FF2B5EF4-FFF2-40B4-BE49-F238E27FC236}">
              <a16:creationId xmlns:a16="http://schemas.microsoft.com/office/drawing/2014/main" id="{08511996-C5B7-4691-B36D-F0FD40BCC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293628</xdr:colOff>
          <xdr:row>6</xdr:row>
          <xdr:rowOff>35809</xdr:rowOff>
        </xdr:from>
        <xdr:to>
          <xdr:col>7</xdr:col>
          <xdr:colOff>28647</xdr:colOff>
          <xdr:row>8</xdr:row>
          <xdr:rowOff>93104</xdr:rowOff>
        </xdr:to>
        <xdr:pic>
          <xdr:nvPicPr>
            <xdr:cNvPr id="39" name="Picture 38">
              <a:extLst>
                <a:ext uri="{FF2B5EF4-FFF2-40B4-BE49-F238E27FC236}">
                  <a16:creationId xmlns:a16="http://schemas.microsoft.com/office/drawing/2014/main" id="{B7C2CEC5-B3AA-47A1-9B56-09688EC219E3}"/>
                </a:ext>
              </a:extLst>
            </xdr:cNvPr>
            <xdr:cNvPicPr>
              <a:picLocks noChangeAspect="1" noChangeArrowheads="1"/>
              <a:extLst>
                <a:ext uri="{84589F7E-364E-4C9E-8A38-B11213B215E9}">
                  <a14:cameraTool cellRange="'Pivot Report'!$A$50:$D$52" spid="_x0000_s1062"/>
                </a:ext>
              </a:extLst>
            </xdr:cNvPicPr>
          </xdr:nvPicPr>
          <xdr:blipFill>
            <a:blip xmlns:r="http://schemas.openxmlformats.org/officeDocument/2006/relationships" r:embed="rId11"/>
            <a:srcRect/>
            <a:stretch>
              <a:fillRect/>
            </a:stretch>
          </xdr:blipFill>
          <xdr:spPr bwMode="auto">
            <a:xfrm>
              <a:off x="902369" y="1195997"/>
              <a:ext cx="3387462" cy="444024"/>
            </a:xfrm>
            <a:prstGeom prst="roundRect">
              <a:avLst>
                <a:gd name="adj" fmla="val 16667"/>
              </a:avLst>
            </a:prstGeom>
            <a:ln>
              <a:noFill/>
            </a:ln>
            <a:effectLst>
              <a:outerShdw blurRad="76200" dist="38100" dir="7800000" algn="tl" rotWithShape="0">
                <a:srgbClr val="000000">
                  <a:alpha val="40000"/>
                </a:srgbClr>
              </a:outerShdw>
            </a:effectLst>
            <a:extLst>
              <a:ext uri="{909E8E84-426E-40DD-AFC4-6F175D3DCCD1}">
                <a14:hiddenFill>
                  <a:solidFill>
                    <a:srgbClr val="FFFFFF"/>
                  </a:solidFill>
                </a14:hiddenFill>
              </a:ext>
            </a:extLst>
          </xdr:spPr>
        </xdr:pic>
        <xdr:clientData/>
      </xdr:twoCellAnchor>
    </mc:Choice>
    <mc:Fallback/>
  </mc:AlternateContent>
  <xdr:twoCellAnchor>
    <xdr:from>
      <xdr:col>1</xdr:col>
      <xdr:colOff>300789</xdr:colOff>
      <xdr:row>8</xdr:row>
      <xdr:rowOff>128776</xdr:rowOff>
    </xdr:from>
    <xdr:to>
      <xdr:col>7</xdr:col>
      <xdr:colOff>14324</xdr:colOff>
      <xdr:row>16</xdr:row>
      <xdr:rowOff>0</xdr:rowOff>
    </xdr:to>
    <xdr:graphicFrame macro="">
      <xdr:nvGraphicFramePr>
        <xdr:cNvPr id="41" name="Chart 40">
          <a:extLst>
            <a:ext uri="{FF2B5EF4-FFF2-40B4-BE49-F238E27FC236}">
              <a16:creationId xmlns:a16="http://schemas.microsoft.com/office/drawing/2014/main" id="{EF49870D-AE3F-4353-88AF-E02A37F67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3</xdr:col>
      <xdr:colOff>35807</xdr:colOff>
      <xdr:row>15</xdr:row>
      <xdr:rowOff>193231</xdr:rowOff>
    </xdr:from>
    <xdr:to>
      <xdr:col>5</xdr:col>
      <xdr:colOff>315111</xdr:colOff>
      <xdr:row>16</xdr:row>
      <xdr:rowOff>164718</xdr:rowOff>
    </xdr:to>
    <xdr:sp macro="" textlink="">
      <xdr:nvSpPr>
        <xdr:cNvPr id="44" name="TextBox 43">
          <a:extLst>
            <a:ext uri="{FF2B5EF4-FFF2-40B4-BE49-F238E27FC236}">
              <a16:creationId xmlns:a16="http://schemas.microsoft.com/office/drawing/2014/main" id="{0184DC83-6FD3-4BF6-985D-B7D929FE673E}"/>
            </a:ext>
          </a:extLst>
        </xdr:cNvPr>
        <xdr:cNvSpPr txBox="1"/>
      </xdr:nvSpPr>
      <xdr:spPr>
        <a:xfrm>
          <a:off x="1862029" y="3093701"/>
          <a:ext cx="1496785" cy="164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b="1" i="0" u="sng">
              <a:latin typeface="+mn-lt"/>
            </a:rPr>
            <a:t>No. of patient by Age Group</a:t>
          </a:r>
          <a:endParaRPr lang="en-US" sz="800" b="1" i="0" u="sng">
            <a:latin typeface="Calibri "/>
          </a:endParaRPr>
        </a:p>
      </xdr:txBody>
    </xdr:sp>
    <xdr:clientData/>
  </xdr:twoCellAnchor>
  <xdr:twoCellAnchor>
    <xdr:from>
      <xdr:col>7</xdr:col>
      <xdr:colOff>78779</xdr:colOff>
      <xdr:row>0</xdr:row>
      <xdr:rowOff>64455</xdr:rowOff>
    </xdr:from>
    <xdr:to>
      <xdr:col>9</xdr:col>
      <xdr:colOff>264982</xdr:colOff>
      <xdr:row>5</xdr:row>
      <xdr:rowOff>35809</xdr:rowOff>
    </xdr:to>
    <xdr:graphicFrame macro="">
      <xdr:nvGraphicFramePr>
        <xdr:cNvPr id="45" name="Chart 44">
          <a:extLst>
            <a:ext uri="{FF2B5EF4-FFF2-40B4-BE49-F238E27FC236}">
              <a16:creationId xmlns:a16="http://schemas.microsoft.com/office/drawing/2014/main" id="{CFB0CB11-8296-42B9-BFBB-244065471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286467</xdr:colOff>
      <xdr:row>2</xdr:row>
      <xdr:rowOff>28647</xdr:rowOff>
    </xdr:from>
    <xdr:to>
      <xdr:col>11</xdr:col>
      <xdr:colOff>565770</xdr:colOff>
      <xdr:row>6</xdr:row>
      <xdr:rowOff>28647</xdr:rowOff>
    </xdr:to>
    <xdr:grpSp>
      <xdr:nvGrpSpPr>
        <xdr:cNvPr id="5" name="Group 4">
          <a:extLst>
            <a:ext uri="{FF2B5EF4-FFF2-40B4-BE49-F238E27FC236}">
              <a16:creationId xmlns:a16="http://schemas.microsoft.com/office/drawing/2014/main" id="{B8DDDA4D-6624-46DF-9818-965DE810CE1C}"/>
            </a:ext>
          </a:extLst>
        </xdr:cNvPr>
        <xdr:cNvGrpSpPr/>
      </xdr:nvGrpSpPr>
      <xdr:grpSpPr>
        <a:xfrm>
          <a:off x="5765132" y="415376"/>
          <a:ext cx="1496785" cy="773459"/>
          <a:chOff x="5765132" y="45697"/>
          <a:chExt cx="1496785" cy="1143138"/>
        </a:xfrm>
      </xdr:grpSpPr>
      <xdr:sp macro="" textlink="">
        <xdr:nvSpPr>
          <xdr:cNvPr id="26" name="Rectangle: Rounded Corners 25">
            <a:extLst>
              <a:ext uri="{FF2B5EF4-FFF2-40B4-BE49-F238E27FC236}">
                <a16:creationId xmlns:a16="http://schemas.microsoft.com/office/drawing/2014/main" id="{F392152D-804C-40A1-AAED-E305E5D22906}"/>
              </a:ext>
            </a:extLst>
          </xdr:cNvPr>
          <xdr:cNvSpPr/>
        </xdr:nvSpPr>
        <xdr:spPr>
          <a:xfrm>
            <a:off x="5798024" y="45697"/>
            <a:ext cx="1444413" cy="1143138"/>
          </a:xfrm>
          <a:prstGeom prst="roundRect">
            <a:avLst>
              <a:gd name="adj" fmla="val 7026"/>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0" name="Chart 49">
            <a:extLst>
              <a:ext uri="{FF2B5EF4-FFF2-40B4-BE49-F238E27FC236}">
                <a16:creationId xmlns:a16="http://schemas.microsoft.com/office/drawing/2014/main" id="{C136A713-E6A2-4EED-8E69-70AE487AF415}"/>
              </a:ext>
            </a:extLst>
          </xdr:cNvPr>
          <xdr:cNvGraphicFramePr>
            <a:graphicFrameLocks/>
          </xdr:cNvGraphicFramePr>
        </xdr:nvGraphicFramePr>
        <xdr:xfrm>
          <a:off x="5822425" y="71618"/>
          <a:ext cx="1396522" cy="909529"/>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51" name="TextBox 50">
            <a:extLst>
              <a:ext uri="{FF2B5EF4-FFF2-40B4-BE49-F238E27FC236}">
                <a16:creationId xmlns:a16="http://schemas.microsoft.com/office/drawing/2014/main" id="{BADA68FF-403E-4058-AD65-09F2478295C9}"/>
              </a:ext>
            </a:extLst>
          </xdr:cNvPr>
          <xdr:cNvSpPr txBox="1"/>
        </xdr:nvSpPr>
        <xdr:spPr>
          <a:xfrm>
            <a:off x="5765132" y="988311"/>
            <a:ext cx="1496785" cy="164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b="1" i="0" u="none">
                <a:latin typeface="+mn-lt"/>
              </a:rPr>
              <a:t>Gender wise Analysis</a:t>
            </a:r>
            <a:endParaRPr lang="en-US" sz="800" b="1" i="0" u="none">
              <a:latin typeface="Calibri "/>
            </a:endParaRPr>
          </a:p>
        </xdr:txBody>
      </xdr:sp>
    </xdr:grpSp>
    <xdr:clientData/>
  </xdr:twoCellAnchor>
  <xdr:twoCellAnchor editAs="absolute">
    <xdr:from>
      <xdr:col>7</xdr:col>
      <xdr:colOff>66461</xdr:colOff>
      <xdr:row>5</xdr:row>
      <xdr:rowOff>30655</xdr:rowOff>
    </xdr:from>
    <xdr:to>
      <xdr:col>9</xdr:col>
      <xdr:colOff>345765</xdr:colOff>
      <xdr:row>6</xdr:row>
      <xdr:rowOff>2142</xdr:rowOff>
    </xdr:to>
    <xdr:sp macro="" textlink="">
      <xdr:nvSpPr>
        <xdr:cNvPr id="52" name="TextBox 51">
          <a:extLst>
            <a:ext uri="{FF2B5EF4-FFF2-40B4-BE49-F238E27FC236}">
              <a16:creationId xmlns:a16="http://schemas.microsoft.com/office/drawing/2014/main" id="{0384F2E6-ADB4-4FF9-9054-60537DD67324}"/>
            </a:ext>
          </a:extLst>
        </xdr:cNvPr>
        <xdr:cNvSpPr txBox="1"/>
      </xdr:nvSpPr>
      <xdr:spPr>
        <a:xfrm>
          <a:off x="4327645" y="997478"/>
          <a:ext cx="1496785" cy="164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b="1" i="0" u="none">
              <a:latin typeface="+mn-lt"/>
            </a:rPr>
            <a:t>Patient</a:t>
          </a:r>
          <a:r>
            <a:rPr lang="en-US" sz="800" b="1" i="0" u="none" baseline="0">
              <a:latin typeface="+mn-lt"/>
            </a:rPr>
            <a:t> Attend Status</a:t>
          </a:r>
          <a:endParaRPr lang="en-US" sz="800" b="1" i="0" u="none">
            <a:latin typeface="Calibri "/>
          </a:endParaRPr>
        </a:p>
      </xdr:txBody>
    </xdr:sp>
    <xdr:clientData/>
  </xdr:twoCellAnchor>
  <xdr:twoCellAnchor>
    <xdr:from>
      <xdr:col>7</xdr:col>
      <xdr:colOff>71616</xdr:colOff>
      <xdr:row>6</xdr:row>
      <xdr:rowOff>64456</xdr:rowOff>
    </xdr:from>
    <xdr:to>
      <xdr:col>11</xdr:col>
      <xdr:colOff>518502</xdr:colOff>
      <xdr:row>17</xdr:row>
      <xdr:rowOff>57293</xdr:rowOff>
    </xdr:to>
    <xdr:graphicFrame macro="">
      <xdr:nvGraphicFramePr>
        <xdr:cNvPr id="53" name="Chart 52">
          <a:extLst>
            <a:ext uri="{FF2B5EF4-FFF2-40B4-BE49-F238E27FC236}">
              <a16:creationId xmlns:a16="http://schemas.microsoft.com/office/drawing/2014/main" id="{F0831205-D7CF-4F39-8357-2E525E793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7</xdr:col>
      <xdr:colOff>551453</xdr:colOff>
      <xdr:row>16</xdr:row>
      <xdr:rowOff>14322</xdr:rowOff>
    </xdr:from>
    <xdr:to>
      <xdr:col>10</xdr:col>
      <xdr:colOff>448039</xdr:colOff>
      <xdr:row>16</xdr:row>
      <xdr:rowOff>193363</xdr:rowOff>
    </xdr:to>
    <xdr:sp macro="" textlink="">
      <xdr:nvSpPr>
        <xdr:cNvPr id="54" name="TextBox 53">
          <a:extLst>
            <a:ext uri="{FF2B5EF4-FFF2-40B4-BE49-F238E27FC236}">
              <a16:creationId xmlns:a16="http://schemas.microsoft.com/office/drawing/2014/main" id="{B3D3B91F-80CD-4FFB-8ADC-FAAD9DB091D1}"/>
            </a:ext>
          </a:extLst>
        </xdr:cNvPr>
        <xdr:cNvSpPr txBox="1"/>
      </xdr:nvSpPr>
      <xdr:spPr>
        <a:xfrm>
          <a:off x="4812637" y="3108157"/>
          <a:ext cx="1722808" cy="179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b="1" i="0" u="sng">
              <a:latin typeface="+mn-lt"/>
            </a:rPr>
            <a:t>No. of Patient</a:t>
          </a:r>
          <a:r>
            <a:rPr lang="en-US" sz="800" b="1" i="0" u="sng" baseline="0">
              <a:latin typeface="+mn-lt"/>
            </a:rPr>
            <a:t> By department Referal</a:t>
          </a:r>
          <a:endParaRPr lang="en-US" sz="800" b="1" i="0" u="sng">
            <a:latin typeface="Calibri "/>
          </a:endParaRPr>
        </a:p>
      </xdr:txBody>
    </xdr:sp>
    <xdr:clientData/>
  </xdr:twoCellAnchor>
  <xdr:twoCellAnchor editAs="oneCell">
    <xdr:from>
      <xdr:col>5</xdr:col>
      <xdr:colOff>28647</xdr:colOff>
      <xdr:row>0</xdr:row>
      <xdr:rowOff>71616</xdr:rowOff>
    </xdr:from>
    <xdr:to>
      <xdr:col>6</xdr:col>
      <xdr:colOff>601579</xdr:colOff>
      <xdr:row>2</xdr:row>
      <xdr:rowOff>93101</xdr:rowOff>
    </xdr:to>
    <mc:AlternateContent xmlns:mc="http://schemas.openxmlformats.org/markup-compatibility/2006" xmlns:a14="http://schemas.microsoft.com/office/drawing/2010/main">
      <mc:Choice Requires="a14">
        <xdr:graphicFrame macro="">
          <xdr:nvGraphicFramePr>
            <xdr:cNvPr id="55" name="Date (Year)1">
              <a:extLst>
                <a:ext uri="{FF2B5EF4-FFF2-40B4-BE49-F238E27FC236}">
                  <a16:creationId xmlns:a16="http://schemas.microsoft.com/office/drawing/2014/main" id="{1C511D6B-E335-47C5-A192-F5094E388F76}"/>
                </a:ext>
              </a:extLst>
            </xdr:cNvPr>
            <xdr:cNvGraphicFramePr/>
          </xdr:nvGraphicFramePr>
          <xdr:xfrm>
            <a:off x="0" y="0"/>
            <a:ext cx="0" cy="0"/>
          </xdr:xfrm>
          <a:graphic>
            <a:graphicData uri="http://schemas.microsoft.com/office/drawing/2010/slicer">
              <sle:slicer xmlns:sle="http://schemas.microsoft.com/office/drawing/2010/slicer" name="Date (Year)1"/>
            </a:graphicData>
          </a:graphic>
        </xdr:graphicFrame>
      </mc:Choice>
      <mc:Fallback xmlns="">
        <xdr:sp macro="" textlink="">
          <xdr:nvSpPr>
            <xdr:cNvPr id="0" name=""/>
            <xdr:cNvSpPr>
              <a:spLocks noTextEdit="1"/>
            </xdr:cNvSpPr>
          </xdr:nvSpPr>
          <xdr:spPr>
            <a:xfrm>
              <a:off x="3072350" y="71616"/>
              <a:ext cx="1181673" cy="4082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9</xdr:col>
      <xdr:colOff>324083</xdr:colOff>
      <xdr:row>0</xdr:row>
      <xdr:rowOff>44114</xdr:rowOff>
    </xdr:from>
    <xdr:to>
      <xdr:col>11</xdr:col>
      <xdr:colOff>551447</xdr:colOff>
      <xdr:row>2</xdr:row>
      <xdr:rowOff>14324</xdr:rowOff>
    </xdr:to>
    <xdr:sp macro="" textlink="">
      <xdr:nvSpPr>
        <xdr:cNvPr id="56" name="Rectangle: Rounded Corners 55">
          <a:extLst>
            <a:ext uri="{FF2B5EF4-FFF2-40B4-BE49-F238E27FC236}">
              <a16:creationId xmlns:a16="http://schemas.microsoft.com/office/drawing/2014/main" id="{491BF741-EC3B-4F14-B88D-749DBBCC5948}"/>
            </a:ext>
          </a:extLst>
        </xdr:cNvPr>
        <xdr:cNvSpPr/>
      </xdr:nvSpPr>
      <xdr:spPr>
        <a:xfrm>
          <a:off x="5802748" y="44114"/>
          <a:ext cx="1444846" cy="356939"/>
        </a:xfrm>
        <a:prstGeom prst="roundRect">
          <a:avLst>
            <a:gd name="adj" fmla="val 15055"/>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358084</xdr:colOff>
      <xdr:row>0</xdr:row>
      <xdr:rowOff>50132</xdr:rowOff>
    </xdr:from>
    <xdr:to>
      <xdr:col>11</xdr:col>
      <xdr:colOff>486992</xdr:colOff>
      <xdr:row>2</xdr:row>
      <xdr:rowOff>7162</xdr:rowOff>
    </xdr:to>
    <mc:AlternateContent xmlns:mc="http://schemas.openxmlformats.org/markup-compatibility/2006" xmlns:a14="http://schemas.microsoft.com/office/drawing/2010/main">
      <mc:Choice Requires="a14">
        <xdr:graphicFrame macro="">
          <xdr:nvGraphicFramePr>
            <xdr:cNvPr id="57" name="Patient Gender">
              <a:extLst>
                <a:ext uri="{FF2B5EF4-FFF2-40B4-BE49-F238E27FC236}">
                  <a16:creationId xmlns:a16="http://schemas.microsoft.com/office/drawing/2014/main" id="{CB5C28F6-5684-4717-9214-BC564345C95F}"/>
                </a:ext>
              </a:extLst>
            </xdr:cNvPr>
            <xdr:cNvGraphicFramePr/>
          </xdr:nvGraphicFramePr>
          <xdr:xfrm>
            <a:off x="0" y="0"/>
            <a:ext cx="0" cy="0"/>
          </xdr:xfrm>
          <a:graphic>
            <a:graphicData uri="http://schemas.microsoft.com/office/drawing/2010/slicer">
              <sle:slicer xmlns:sle="http://schemas.microsoft.com/office/drawing/2010/slicer" name="Patient Gender"/>
            </a:graphicData>
          </a:graphic>
        </xdr:graphicFrame>
      </mc:Choice>
      <mc:Fallback xmlns="">
        <xdr:sp macro="" textlink="">
          <xdr:nvSpPr>
            <xdr:cNvPr id="0" name=""/>
            <xdr:cNvSpPr>
              <a:spLocks noTextEdit="1"/>
            </xdr:cNvSpPr>
          </xdr:nvSpPr>
          <xdr:spPr>
            <a:xfrm>
              <a:off x="5836749" y="50132"/>
              <a:ext cx="1346390" cy="3437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0</xdr:colOff>
      <xdr:row>17</xdr:row>
      <xdr:rowOff>51955</xdr:rowOff>
    </xdr:to>
    <xdr:graphicFrame macro="">
      <xdr:nvGraphicFramePr>
        <xdr:cNvPr id="2" name="Chart 1">
          <a:extLst>
            <a:ext uri="{FF2B5EF4-FFF2-40B4-BE49-F238E27FC236}">
              <a16:creationId xmlns:a16="http://schemas.microsoft.com/office/drawing/2014/main" id="{3A086615-6CC1-41A4-B852-B95EC1506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164525</xdr:colOff>
      <xdr:row>0</xdr:row>
      <xdr:rowOff>95250</xdr:rowOff>
    </xdr:from>
    <xdr:to>
      <xdr:col>0</xdr:col>
      <xdr:colOff>484909</xdr:colOff>
      <xdr:row>2</xdr:row>
      <xdr:rowOff>36465</xdr:rowOff>
    </xdr:to>
    <xdr:pic>
      <xdr:nvPicPr>
        <xdr:cNvPr id="3" name="Picture 2" descr="Home ">
          <a:hlinkClick xmlns:r="http://schemas.openxmlformats.org/officeDocument/2006/relationships" r:id="rId2"/>
          <a:extLst>
            <a:ext uri="{FF2B5EF4-FFF2-40B4-BE49-F238E27FC236}">
              <a16:creationId xmlns:a16="http://schemas.microsoft.com/office/drawing/2014/main" id="{B62B15E9-DFBB-468A-9D1C-D4CE3E39492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64525" y="95250"/>
          <a:ext cx="320384" cy="322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355022</xdr:colOff>
      <xdr:row>4</xdr:row>
      <xdr:rowOff>181841</xdr:rowOff>
    </xdr:from>
    <xdr:to>
      <xdr:col>15</xdr:col>
      <xdr:colOff>355023</xdr:colOff>
      <xdr:row>11</xdr:row>
      <xdr:rowOff>67541</xdr:rowOff>
    </xdr:to>
    <xdr:pic>
      <xdr:nvPicPr>
        <xdr:cNvPr id="4" name="Picture 3" descr="Dot ">
          <a:extLst>
            <a:ext uri="{FF2B5EF4-FFF2-40B4-BE49-F238E27FC236}">
              <a16:creationId xmlns:a16="http://schemas.microsoft.com/office/drawing/2014/main" id="{EA6C48D7-1AEB-405C-867E-DFBCBD97EF2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234795" y="943841"/>
          <a:ext cx="1212273" cy="121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545522</xdr:colOff>
      <xdr:row>5</xdr:row>
      <xdr:rowOff>69273</xdr:rowOff>
    </xdr:from>
    <xdr:to>
      <xdr:col>16</xdr:col>
      <xdr:colOff>552449</xdr:colOff>
      <xdr:row>11</xdr:row>
      <xdr:rowOff>145473</xdr:rowOff>
    </xdr:to>
    <xdr:pic>
      <xdr:nvPicPr>
        <xdr:cNvPr id="5" name="Picture 4">
          <a:extLst>
            <a:ext uri="{FF2B5EF4-FFF2-40B4-BE49-F238E27FC236}">
              <a16:creationId xmlns:a16="http://schemas.microsoft.com/office/drawing/2014/main" id="{7EF39404-5C9E-4025-A9BB-6F62565D2838}"/>
            </a:ext>
          </a:extLst>
        </xdr:cNvPr>
        <xdr:cNvPicPr>
          <a:picLocks noChangeAspect="1"/>
        </xdr:cNvPicPr>
      </xdr:nvPicPr>
      <xdr:blipFill>
        <a:blip xmlns:r="http://schemas.openxmlformats.org/officeDocument/2006/relationships" r:embed="rId5"/>
        <a:stretch>
          <a:fillRect/>
        </a:stretch>
      </xdr:blipFill>
      <xdr:spPr>
        <a:xfrm>
          <a:off x="9031431" y="1021773"/>
          <a:ext cx="1219200" cy="1219200"/>
        </a:xfrm>
        <a:prstGeom prst="rect">
          <a:avLst/>
        </a:prstGeom>
      </xdr:spPr>
    </xdr:pic>
    <xdr:clientData/>
  </xdr:twoCellAnchor>
  <xdr:twoCellAnchor editAs="oneCell">
    <xdr:from>
      <xdr:col>1</xdr:col>
      <xdr:colOff>386193</xdr:colOff>
      <xdr:row>17</xdr:row>
      <xdr:rowOff>152399</xdr:rowOff>
    </xdr:from>
    <xdr:to>
      <xdr:col>2</xdr:col>
      <xdr:colOff>95249</xdr:colOff>
      <xdr:row>19</xdr:row>
      <xdr:rowOff>69272</xdr:rowOff>
    </xdr:to>
    <xdr:pic>
      <xdr:nvPicPr>
        <xdr:cNvPr id="6" name="Picture 5">
          <a:extLst>
            <a:ext uri="{FF2B5EF4-FFF2-40B4-BE49-F238E27FC236}">
              <a16:creationId xmlns:a16="http://schemas.microsoft.com/office/drawing/2014/main" id="{9008F263-C950-45AA-9A10-90467835B3A1}"/>
            </a:ext>
          </a:extLst>
        </xdr:cNvPr>
        <xdr:cNvPicPr>
          <a:picLocks noChangeAspect="1"/>
        </xdr:cNvPicPr>
      </xdr:nvPicPr>
      <xdr:blipFill>
        <a:blip xmlns:r="http://schemas.openxmlformats.org/officeDocument/2006/relationships" r:embed="rId5"/>
        <a:stretch>
          <a:fillRect/>
        </a:stretch>
      </xdr:blipFill>
      <xdr:spPr>
        <a:xfrm>
          <a:off x="992329" y="3390899"/>
          <a:ext cx="315193" cy="297873"/>
        </a:xfrm>
        <a:prstGeom prst="rect">
          <a:avLst/>
        </a:prstGeom>
      </xdr:spPr>
    </xdr:pic>
    <xdr:clientData/>
  </xdr:twoCellAnchor>
  <xdr:twoCellAnchor editAs="oneCell">
    <xdr:from>
      <xdr:col>15</xdr:col>
      <xdr:colOff>27709</xdr:colOff>
      <xdr:row>1</xdr:row>
      <xdr:rowOff>36369</xdr:rowOff>
    </xdr:from>
    <xdr:to>
      <xdr:col>17</xdr:col>
      <xdr:colOff>34636</xdr:colOff>
      <xdr:row>7</xdr:row>
      <xdr:rowOff>112569</xdr:rowOff>
    </xdr:to>
    <xdr:pic>
      <xdr:nvPicPr>
        <xdr:cNvPr id="7" name="Picture 6">
          <a:extLst>
            <a:ext uri="{FF2B5EF4-FFF2-40B4-BE49-F238E27FC236}">
              <a16:creationId xmlns:a16="http://schemas.microsoft.com/office/drawing/2014/main" id="{9F91A9D2-FDE7-42CD-BE2B-EB904953872B}"/>
            </a:ext>
          </a:extLst>
        </xdr:cNvPr>
        <xdr:cNvPicPr>
          <a:picLocks noChangeAspect="1"/>
        </xdr:cNvPicPr>
      </xdr:nvPicPr>
      <xdr:blipFill>
        <a:blip xmlns:r="http://schemas.openxmlformats.org/officeDocument/2006/relationships" r:embed="rId5"/>
        <a:stretch>
          <a:fillRect/>
        </a:stretch>
      </xdr:blipFill>
      <xdr:spPr>
        <a:xfrm>
          <a:off x="9119754" y="226869"/>
          <a:ext cx="1219200" cy="1219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0</xdr:colOff>
      <xdr:row>19</xdr:row>
      <xdr:rowOff>180974</xdr:rowOff>
    </xdr:to>
    <xdr:graphicFrame macro="">
      <xdr:nvGraphicFramePr>
        <xdr:cNvPr id="2" name="Chart 1">
          <a:extLst>
            <a:ext uri="{FF2B5EF4-FFF2-40B4-BE49-F238E27FC236}">
              <a16:creationId xmlns:a16="http://schemas.microsoft.com/office/drawing/2014/main" id="{48BB876C-9851-47FD-A6A9-768A479AAD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400051</xdr:colOff>
      <xdr:row>20</xdr:row>
      <xdr:rowOff>142875</xdr:rowOff>
    </xdr:from>
    <xdr:to>
      <xdr:col>2</xdr:col>
      <xdr:colOff>114301</xdr:colOff>
      <xdr:row>22</xdr:row>
      <xdr:rowOff>76200</xdr:rowOff>
    </xdr:to>
    <xdr:pic>
      <xdr:nvPicPr>
        <xdr:cNvPr id="3" name="Picture 2" descr="Dot ">
          <a:extLst>
            <a:ext uri="{FF2B5EF4-FFF2-40B4-BE49-F238E27FC236}">
              <a16:creationId xmlns:a16="http://schemas.microsoft.com/office/drawing/2014/main" id="{DCEC7600-1B07-4954-9AB4-D705B77AE2D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9651" y="3952875"/>
          <a:ext cx="323850"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95251</xdr:colOff>
      <xdr:row>0</xdr:row>
      <xdr:rowOff>114300</xdr:rowOff>
    </xdr:from>
    <xdr:to>
      <xdr:col>0</xdr:col>
      <xdr:colOff>464615</xdr:colOff>
      <xdr:row>2</xdr:row>
      <xdr:rowOff>104775</xdr:rowOff>
    </xdr:to>
    <xdr:pic>
      <xdr:nvPicPr>
        <xdr:cNvPr id="4" name="Picture 3" descr="Home ">
          <a:hlinkClick xmlns:r="http://schemas.openxmlformats.org/officeDocument/2006/relationships" r:id="rId3"/>
          <a:extLst>
            <a:ext uri="{FF2B5EF4-FFF2-40B4-BE49-F238E27FC236}">
              <a16:creationId xmlns:a16="http://schemas.microsoft.com/office/drawing/2014/main" id="{5B77B441-47D4-4072-832A-164148FC152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5251" y="114300"/>
          <a:ext cx="369364" cy="371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400051</xdr:colOff>
      <xdr:row>20</xdr:row>
      <xdr:rowOff>142875</xdr:rowOff>
    </xdr:from>
    <xdr:to>
      <xdr:col>2</xdr:col>
      <xdr:colOff>114301</xdr:colOff>
      <xdr:row>22</xdr:row>
      <xdr:rowOff>66675</xdr:rowOff>
    </xdr:to>
    <xdr:pic>
      <xdr:nvPicPr>
        <xdr:cNvPr id="3" name="Picture 2" descr="Dot ">
          <a:extLst>
            <a:ext uri="{FF2B5EF4-FFF2-40B4-BE49-F238E27FC236}">
              <a16:creationId xmlns:a16="http://schemas.microsoft.com/office/drawing/2014/main" id="{54F1A98C-2C8D-4584-AC90-42A89A1922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9651" y="3952875"/>
          <a:ext cx="323850"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533401</xdr:colOff>
      <xdr:row>20</xdr:row>
      <xdr:rowOff>38100</xdr:rowOff>
    </xdr:from>
    <xdr:to>
      <xdr:col>1</xdr:col>
      <xdr:colOff>293165</xdr:colOff>
      <xdr:row>22</xdr:row>
      <xdr:rowOff>19050</xdr:rowOff>
    </xdr:to>
    <xdr:pic>
      <xdr:nvPicPr>
        <xdr:cNvPr id="4" name="Picture 3" descr="Home ">
          <a:hlinkClick xmlns:r="http://schemas.openxmlformats.org/officeDocument/2006/relationships" r:id="rId2"/>
          <a:extLst>
            <a:ext uri="{FF2B5EF4-FFF2-40B4-BE49-F238E27FC236}">
              <a16:creationId xmlns:a16="http://schemas.microsoft.com/office/drawing/2014/main" id="{501AE603-06D9-4308-A7C1-FC3B34ACD732}"/>
            </a:ext>
          </a:extLst>
        </xdr:cNvPr>
        <xdr:cNvPicPr>
          <a:picLocks noChangeAspect="1" noChangeArrowheads="1"/>
        </xdr:cNvPicPr>
      </xdr:nvPicPr>
      <xdr:blipFill>
        <a:blip xmlns:r="http://schemas.openxmlformats.org/officeDocument/2006/relationships" r:embed="rId3" cstate="print">
          <a:duotone>
            <a:prstClr val="black"/>
            <a:schemeClr val="bg1">
              <a:tint val="45000"/>
              <a:satMod val="400000"/>
            </a:schemeClr>
          </a:duotone>
          <a:extLst>
            <a:ext uri="{28A0092B-C50C-407E-A947-70E740481C1C}">
              <a14:useLocalDpi xmlns:a14="http://schemas.microsoft.com/office/drawing/2010/main" val="0"/>
            </a:ext>
          </a:extLst>
        </a:blip>
        <a:srcRect/>
        <a:stretch>
          <a:fillRect/>
        </a:stretch>
      </xdr:blipFill>
      <xdr:spPr bwMode="auto">
        <a:xfrm>
          <a:off x="533401" y="3848100"/>
          <a:ext cx="369364" cy="371475"/>
        </a:xfrm>
        <a:prstGeom prst="rect">
          <a:avLst/>
        </a:prstGeom>
        <a:noFill/>
      </xdr:spPr>
    </xdr:pic>
    <xdr:clientData/>
  </xdr:twoCellAnchor>
  <xdr:twoCellAnchor>
    <xdr:from>
      <xdr:col>0</xdr:col>
      <xdr:colOff>0</xdr:colOff>
      <xdr:row>0</xdr:row>
      <xdr:rowOff>0</xdr:rowOff>
    </xdr:from>
    <xdr:to>
      <xdr:col>15</xdr:col>
      <xdr:colOff>9525</xdr:colOff>
      <xdr:row>20</xdr:row>
      <xdr:rowOff>133350</xdr:rowOff>
    </xdr:to>
    <xdr:graphicFrame macro="">
      <xdr:nvGraphicFramePr>
        <xdr:cNvPr id="5" name="Chart 4">
          <a:extLst>
            <a:ext uri="{FF2B5EF4-FFF2-40B4-BE49-F238E27FC236}">
              <a16:creationId xmlns:a16="http://schemas.microsoft.com/office/drawing/2014/main" id="{B5C846CA-91DC-44E2-94C1-6374E6254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refreshedDate="46266.592245023145" createdVersion="5" refreshedVersion="7" minRefreshableVersion="3" recordCount="0" supportSubquery="1" supportAdvancedDrill="1" xr:uid="{0D71F8AA-F802-42DB-BE7B-4B8CCAA2A92C}">
  <cacheSource type="external" connectionId="3"/>
  <cacheFields count="4">
    <cacheField name="[Measures].[Distinct Count of Patient Id]" caption="Distinct Count of Patient Id" numFmtId="0" hierarchy="28" level="32767"/>
    <cacheField name="[Calender_Table].[Date (Month)].[Date (Month)]" caption="Date (Month)" numFmtId="0" hierarchy="3" level="1">
      <sharedItems containsSemiMixedTypes="0" containsNonDate="0" containsString="0"/>
    </cacheField>
    <cacheField name="[Calender_Table].[Date (Year)1].[Date (Year)1]" caption="Date (Year)1" numFmtId="0" hierarchy="6" level="1">
      <sharedItems containsSemiMixedTypes="0" containsNonDate="0" containsString="0"/>
    </cacheField>
    <cacheField name="[Hospital Emergency Room Data].[Patient Gender].[Patient Gender]" caption="Patient Gender" numFmtId="0" hierarchy="12" level="1">
      <sharedItems count="2">
        <s v="Female"/>
        <s v="Male"/>
      </sharedItems>
    </cacheField>
  </cacheFields>
  <cacheHierarchies count="40">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Month)1]" caption="Date (Month)1" attribute="1" defaultMemberUniqueName="[Calender_Table].[Date (Month)1].[All]" allUniqueName="[Calender_Table].[Date (Month)1].[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1]" caption="Date (Year)1" attribute="1" defaultMemberUniqueName="[Calender_Table].[Date (Year)1].[All]" allUniqueName="[Calender_Table].[Date (Year)1].[All]" dimensionUniqueName="[Calender_Table]" displayFolder="" count="2" memberValueDatatype="130" unbalanced="0">
      <fieldsUsage count="2">
        <fieldUsage x="-1"/>
        <fieldUsage x="2"/>
      </fieldsUsage>
    </cacheHierarchy>
    <cacheHierarchy uniqueName="[Calender_Table].[Date (Quarter)1]" caption="Date (Quarter)1" attribute="1" defaultMemberUniqueName="[Calender_Table].[Date (Quarter)1].[All]" allUniqueName="[Calender_Table].[Date (Quarter)1].[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3"/>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Calender_Table].[Date (Month Index)1]" caption="Date (Month Index)1" attribute="1" defaultMemberUniqueName="[Calender_Table].[Date (Month Index)1].[All]" allUniqueName="[Calender_Table].[Date (Month Index)1].[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refreshedDate="46266.592250578702" createdVersion="5" refreshedVersion="7" minRefreshableVersion="3" recordCount="0" supportSubquery="1" supportAdvancedDrill="1" xr:uid="{55EE2B6A-B045-4F05-9EF8-561EFD89E3D0}">
  <cacheSource type="external" connectionId="3"/>
  <cacheFields count="4">
    <cacheField name="[Measures].[Distinct Count of Patient Id]" caption="Distinct Count of Patient Id" numFmtId="0" hierarchy="28" level="32767"/>
    <cacheField name="[Calender_Table].[Date (Month)].[Date (Month)]" caption="Date (Month)" numFmtId="0" hierarchy="3" level="1">
      <sharedItems containsSemiMixedTypes="0" containsNonDate="0" containsString="0"/>
    </cacheField>
    <cacheField name="[Calender_Table].[Date (Year)1].[Date (Year)1]" caption="Date (Year)1" numFmtId="0" hierarchy="6" level="1">
      <sharedItems containsSemiMixedTypes="0" containsNonDate="0" containsString="0"/>
    </cacheField>
    <cacheField name="[Hospital Emergency Room Data].[Patient Gender].[Patient Gender]" caption="Patient Gender" numFmtId="0" hierarchy="12" level="1">
      <sharedItems containsSemiMixedTypes="0" containsNonDate="0" containsString="0"/>
    </cacheField>
  </cacheFields>
  <cacheHierarchies count="4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Month)1]" caption="Date (Month)1" attribute="1" defaultMemberUniqueName="[Calender_Table].[Date (Month)1].[All]" allUniqueName="[Calender_Table].[Date (Month)1].[All]" dimensionUniqueName="[Calender_Table]" displayFolder="" count="0"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1]" caption="Date (Year)1" attribute="1" defaultMemberUniqueName="[Calender_Table].[Date (Year)1].[All]" allUniqueName="[Calender_Table].[Date (Year)1].[All]" dimensionUniqueName="[Calender_Table]" displayFolder="" count="2" memberValueDatatype="130" unbalanced="0">
      <fieldsUsage count="2">
        <fieldUsage x="-1"/>
        <fieldUsage x="2"/>
      </fieldsUsage>
    </cacheHierarchy>
    <cacheHierarchy uniqueName="[Calender_Table].[Date (Quarter)1]" caption="Date (Quarter)1" attribute="1" defaultMemberUniqueName="[Calender_Table].[Date (Quarter)1].[All]" allUniqueName="[Calender_Table].[Date (Quarter)1].[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3"/>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Calender_Table].[Date (Month Index)1]" caption="Date (Month Index)1" attribute="1" defaultMemberUniqueName="[Calender_Table].[Date (Month Index)1].[All]" allUniqueName="[Calender_Table].[Date (Month Index)1].[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refreshedDate="46266.592253009258" createdVersion="5" refreshedVersion="7" minRefreshableVersion="3" recordCount="0" supportSubquery="1" supportAdvancedDrill="1" xr:uid="{30814A0C-CAAE-477A-ADD4-E9CB655936C3}">
  <cacheSource type="external" connectionId="3"/>
  <cacheFields count="4">
    <cacheField name="[Calender_Table].[Date (Month)].[Date (Month)]" caption="Date (Month)" numFmtId="0" hierarchy="3" level="1">
      <sharedItems containsSemiMixedTypes="0" containsNonDate="0" containsString="0"/>
    </cacheField>
    <cacheField name="[Hospital Emergency Room Data].[Patient Gender].[Patient Gender]" caption="Patient Gender" numFmtId="0" hierarchy="12" level="1">
      <sharedItems count="2">
        <s v="Female"/>
        <s v="Male"/>
      </sharedItems>
    </cacheField>
    <cacheField name="[Measures].[Count of Patient Gender]" caption="Count of Patient Gender" numFmtId="0" hierarchy="38" level="32767"/>
    <cacheField name="[Calender_Table].[Date (Year)1].[Date (Year)1]" caption="Date (Year)1" numFmtId="0" hierarchy="6" level="1">
      <sharedItems containsSemiMixedTypes="0" containsNonDate="0" containsString="0"/>
    </cacheField>
  </cacheFields>
  <cacheHierarchies count="4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Month)1]" caption="Date (Month)1" attribute="1" defaultMemberUniqueName="[Calender_Table].[Date (Month)1].[All]" allUniqueName="[Calender_Table].[Date (Month)1].[All]" dimensionUniqueName="[Calender_Table]" displayFolder="" count="0"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1]" caption="Date (Year)1" attribute="1" defaultMemberUniqueName="[Calender_Table].[Date (Year)1].[All]" allUniqueName="[Calender_Table].[Date (Year)1].[All]" dimensionUniqueName="[Calender_Table]" displayFolder="" count="2" memberValueDatatype="130" unbalanced="0">
      <fieldsUsage count="2">
        <fieldUsage x="-1"/>
        <fieldUsage x="3"/>
      </fieldsUsage>
    </cacheHierarchy>
    <cacheHierarchy uniqueName="[Calender_Table].[Date (Quarter)1]" caption="Date (Quarter)1" attribute="1" defaultMemberUniqueName="[Calender_Table].[Date (Quarter)1].[All]" allUniqueName="[Calender_Table].[Date (Quarter)1].[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Calender_Table].[Date (Month Index)1]" caption="Date (Month Index)1" attribute="1" defaultMemberUniqueName="[Calender_Table].[Date (Month Index)1].[All]" allUniqueName="[Calender_Table].[Date (Month Index)1].[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refreshedDate="46266.592254050927" createdVersion="5" refreshedVersion="7" minRefreshableVersion="3" recordCount="0" supportSubquery="1" supportAdvancedDrill="1" xr:uid="{BF0F597F-3B40-4246-8749-E031D9AC1479}">
  <cacheSource type="external" connectionId="3"/>
  <cacheFields count="5">
    <cacheField name="[Calender_Table].[Date (Month)].[Date (Month)]" caption="Date (Month)" numFmtId="0" hierarchy="3" level="1">
      <sharedItems containsSemiMixedTypes="0" containsNonDate="0" containsString="0"/>
    </cacheField>
    <cacheField name="[Hospital Emergency Room Data].[Department Referral].[Department Referral]" caption="Department Referral" numFmtId="0" hierarchy="15" level="1">
      <sharedItems count="8">
        <s v="Cardiology"/>
        <s v="Gastroenterology"/>
        <s v="General Practice"/>
        <s v="Neurology"/>
        <s v="None"/>
        <s v="Orthopedics"/>
        <s v="Physiotherapy"/>
        <s v="Renal"/>
      </sharedItems>
    </cacheField>
    <cacheField name="[Measures].[Count of Department Referral]" caption="Count of Department Referral" numFmtId="0" hierarchy="39" level="32767"/>
    <cacheField name="[Calender_Table].[Date (Year)1].[Date (Year)1]" caption="Date (Year)1" numFmtId="0" hierarchy="6" level="1">
      <sharedItems containsSemiMixedTypes="0" containsNonDate="0" containsString="0"/>
    </cacheField>
    <cacheField name="[Hospital Emergency Room Data].[Patient Gender].[Patient Gender]" caption="Patient Gender" numFmtId="0" hierarchy="12" level="1">
      <sharedItems containsSemiMixedTypes="0" containsNonDate="0" containsString="0"/>
    </cacheField>
  </cacheFields>
  <cacheHierarchies count="4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Month)1]" caption="Date (Month)1" attribute="1" defaultMemberUniqueName="[Calender_Table].[Date (Month)1].[All]" allUniqueName="[Calender_Table].[Date (Month)1].[All]" dimensionUniqueName="[Calender_Table]" displayFolder="" count="0"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1]" caption="Date (Year)1" attribute="1" defaultMemberUniqueName="[Calender_Table].[Date (Year)1].[All]" allUniqueName="[Calender_Table].[Date (Year)1].[All]" dimensionUniqueName="[Calender_Table]" displayFolder="" count="2" memberValueDatatype="130" unbalanced="0">
      <fieldsUsage count="2">
        <fieldUsage x="-1"/>
        <fieldUsage x="3"/>
      </fieldsUsage>
    </cacheHierarchy>
    <cacheHierarchy uniqueName="[Calender_Table].[Date (Quarter)1]" caption="Date (Quarter)1" attribute="1" defaultMemberUniqueName="[Calender_Table].[Date (Quarter)1].[All]" allUniqueName="[Calender_Table].[Date (Quarter)1].[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4"/>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Calender_Table].[Date (Month Index)1]" caption="Date (Month Index)1" attribute="1" defaultMemberUniqueName="[Calender_Table].[Date (Month Index)1].[All]" allUniqueName="[Calender_Table].[Date (Month Index)1].[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refreshedDate="46266.592254976851" createdVersion="5" refreshedVersion="7" minRefreshableVersion="3" recordCount="0" supportSubquery="1" supportAdvancedDrill="1" xr:uid="{8FE1DD3D-4504-426C-A094-F0A4FBE31CFD}">
  <cacheSource type="external" connectionId="3"/>
  <cacheFields count="6">
    <cacheField name="[Calender_Table].[Date (Month)].[Date (Month)]" caption="Date (Month)" numFmtId="0" hierarchy="3" level="1">
      <sharedItems containsSemiMixedTypes="0" containsNonDate="0" containsString="0"/>
    </cacheField>
    <cacheField name="[Calender_Table].[Date].[Date]" caption="Date" numFmtId="0" level="1">
      <sharedItems containsSemiMixedTypes="0" containsNonDate="0" containsDate="1" containsString="0" minDate="2023-03-01T00:00:00" maxDate="2024-04-01T00:00:00" count="62">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sharedItems>
    </cacheField>
    <cacheField name="[Calender_Table].[Date (Month)1].[Date (Month)1]" caption="Date (Month)1" numFmtId="0" hierarchy="4" level="1">
      <sharedItems containsNonDate="0" count="1">
        <s v="Mar"/>
      </sharedItems>
    </cacheField>
    <cacheField name="[Calender_Table].[Date (Quarter)1].[Date (Quarter)1]" caption="Date (Quarter)1" numFmtId="0" hierarchy="7" level="1">
      <sharedItems containsNonDate="0" count="1">
        <s v="Qtr1"/>
      </sharedItems>
    </cacheField>
    <cacheField name="[Calender_Table].[Date (Year)1].[Date (Year)1]" caption="Date (Year)1" numFmtId="0" hierarchy="6" level="1">
      <sharedItems count="1">
        <s v="2023"/>
      </sharedItems>
    </cacheField>
    <cacheField name="[Hospital Emergency Room Data].[Patient Gender].[Patient Gender]" caption="Patient Gender" numFmtId="0" hierarchy="12" level="1">
      <sharedItems containsSemiMixedTypes="0" containsNonDate="0" containsString="0"/>
    </cacheField>
  </cacheFields>
  <cacheHierarchies count="40">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Month)1]" caption="Date (Month)1" attribute="1" defaultMemberUniqueName="[Calender_Table].[Date (Month)1].[All]" allUniqueName="[Calender_Table].[Date (Month)1].[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1]" caption="Date (Year)1" attribute="1" defaultMemberUniqueName="[Calender_Table].[Date (Year)1].[All]" allUniqueName="[Calender_Table].[Date (Year)1].[All]" dimensionUniqueName="[Calender_Table]" displayFolder="" count="2" memberValueDatatype="130" unbalanced="0">
      <fieldsUsage count="2">
        <fieldUsage x="-1"/>
        <fieldUsage x="4"/>
      </fieldsUsage>
    </cacheHierarchy>
    <cacheHierarchy uniqueName="[Calender_Table].[Date (Quarter)1]" caption="Date (Quarter)1" attribute="1" defaultMemberUniqueName="[Calender_Table].[Date (Quarter)1].[All]" allUniqueName="[Calender_Table].[Date (Quarter)1].[All]" dimensionUniqueName="[Cale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5"/>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Calender_Table].[Date (Month Index)1]" caption="Date (Month Index)1" attribute="1" defaultMemberUniqueName="[Calender_Table].[Date (Month Index)1].[All]" allUniqueName="[Calender_Table].[Date (Month Index)1].[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refreshedDate="46266.592255671298" createdVersion="5" refreshedVersion="7" minRefreshableVersion="3" recordCount="0" supportSubquery="1" supportAdvancedDrill="1" xr:uid="{FE13EA84-BCE0-44AA-83E7-49D39810401A}">
  <cacheSource type="external" connectionId="3"/>
  <cacheFields count="4">
    <cacheField name="[Measures].[Average of Patient Waittime]" caption="Average of Patient Waittime" numFmtId="0" hierarchy="30" level="32767"/>
    <cacheField name="[Calender_Table].[Date (Month)].[Date (Month)]" caption="Date (Month)" numFmtId="0" hierarchy="3" level="1">
      <sharedItems containsSemiMixedTypes="0" containsNonDate="0" containsString="0"/>
    </cacheField>
    <cacheField name="[Calender_Table].[Date (Year)1].[Date (Year)1]" caption="Date (Year)1" numFmtId="0" hierarchy="6" level="1">
      <sharedItems containsSemiMixedTypes="0" containsNonDate="0" containsString="0"/>
    </cacheField>
    <cacheField name="[Hospital Emergency Room Data].[Patient Gender].[Patient Gender]" caption="Patient Gender" numFmtId="0" hierarchy="12" level="1">
      <sharedItems containsSemiMixedTypes="0" containsNonDate="0" containsString="0"/>
    </cacheField>
  </cacheFields>
  <cacheHierarchies count="4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Month)1]" caption="Date (Month)1" attribute="1" defaultMemberUniqueName="[Calender_Table].[Date (Month)1].[All]" allUniqueName="[Calender_Table].[Date (Month)1].[All]" dimensionUniqueName="[Calender_Table]" displayFolder="" count="0"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1]" caption="Date (Year)1" attribute="1" defaultMemberUniqueName="[Calender_Table].[Date (Year)1].[All]" allUniqueName="[Calender_Table].[Date (Year)1].[All]" dimensionUniqueName="[Calender_Table]" displayFolder="" count="2" memberValueDatatype="130" unbalanced="0">
      <fieldsUsage count="2">
        <fieldUsage x="-1"/>
        <fieldUsage x="2"/>
      </fieldsUsage>
    </cacheHierarchy>
    <cacheHierarchy uniqueName="[Calender_Table].[Date (Quarter)1]" caption="Date (Quarter)1" attribute="1" defaultMemberUniqueName="[Calender_Table].[Date (Quarter)1].[All]" allUniqueName="[Calender_Table].[Date (Quarter)1].[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3"/>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Calender_Table].[Date (Month Index)1]" caption="Date (Month Index)1" attribute="1" defaultMemberUniqueName="[Calender_Table].[Date (Month Index)1].[All]" allUniqueName="[Calender_Table].[Date (Month Index)1].[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refreshedDate="46266.592257523145" createdVersion="5" refreshedVersion="7" minRefreshableVersion="3" recordCount="0" supportSubquery="1" supportAdvancedDrill="1" xr:uid="{6B423117-493F-411F-BCFE-E1833E305216}">
  <cacheSource type="external" connectionId="3"/>
  <cacheFields count="4">
    <cacheField name="[Measures].[Average of Patient Satisfaction Score]" caption="Average of Patient Satisfaction Score" numFmtId="0" hierarchy="32" level="32767"/>
    <cacheField name="[Calender_Table].[Date (Month)].[Date (Month)]" caption="Date (Month)" numFmtId="0" hierarchy="3" level="1">
      <sharedItems containsSemiMixedTypes="0" containsNonDate="0" containsString="0"/>
    </cacheField>
    <cacheField name="[Calender_Table].[Date (Year)1].[Date (Year)1]" caption="Date (Year)1" numFmtId="0" hierarchy="6" level="1">
      <sharedItems containsSemiMixedTypes="0" containsNonDate="0" containsString="0"/>
    </cacheField>
    <cacheField name="[Hospital Emergency Room Data].[Patient Gender].[Patient Gender]" caption="Patient Gender" numFmtId="0" hierarchy="12" level="1">
      <sharedItems containsSemiMixedTypes="0" containsNonDate="0" containsString="0"/>
    </cacheField>
  </cacheFields>
  <cacheHierarchies count="4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Month)1]" caption="Date (Month)1" attribute="1" defaultMemberUniqueName="[Calender_Table].[Date (Month)1].[All]" allUniqueName="[Calender_Table].[Date (Month)1].[All]" dimensionUniqueName="[Calender_Table]" displayFolder="" count="0"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1]" caption="Date (Year)1" attribute="1" defaultMemberUniqueName="[Calender_Table].[Date (Year)1].[All]" allUniqueName="[Calender_Table].[Date (Year)1].[All]" dimensionUniqueName="[Calender_Table]" displayFolder="" count="2" memberValueDatatype="130" unbalanced="0">
      <fieldsUsage count="2">
        <fieldUsage x="-1"/>
        <fieldUsage x="2"/>
      </fieldsUsage>
    </cacheHierarchy>
    <cacheHierarchy uniqueName="[Calender_Table].[Date (Quarter)1]" caption="Date (Quarter)1" attribute="1" defaultMemberUniqueName="[Calender_Table].[Date (Quarter)1].[All]" allUniqueName="[Calender_Table].[Date (Quarter)1].[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3"/>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Calender_Table].[Date (Month Index)1]" caption="Date (Month Index)1" attribute="1" defaultMemberUniqueName="[Calender_Table].[Date (Month Index)1].[All]" allUniqueName="[Calender_Table].[Date (Month Index)1].[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refreshedDate="46266.592259375" createdVersion="5" refreshedVersion="7" minRefreshableVersion="3" recordCount="0" supportSubquery="1" supportAdvancedDrill="1" xr:uid="{7631E511-8C94-464F-8A6D-626B42F16E77}">
  <cacheSource type="external" connectionId="3"/>
  <cacheFields count="5">
    <cacheField name="[Calender_Table].[Date (Day)].[Date (Day)]" caption="Date (Day)" numFmtId="0" hierarchy="5"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3" level="1">
      <sharedItems containsSemiMixedTypes="0" containsNonDate="0" containsString="0"/>
    </cacheField>
    <cacheField name="[Measures].[Average of Patient Waittime]" caption="Average of Patient Waittime" numFmtId="0" hierarchy="30" level="32767"/>
    <cacheField name="[Calender_Table].[Date (Year)1].[Date (Year)1]" caption="Date (Year)1" numFmtId="0" hierarchy="6" level="1">
      <sharedItems containsSemiMixedTypes="0" containsNonDate="0" containsString="0"/>
    </cacheField>
    <cacheField name="[Hospital Emergency Room Data].[Patient Gender].[Patient Gender]" caption="Patient Gender" numFmtId="0" hierarchy="12" level="1">
      <sharedItems containsSemiMixedTypes="0" containsNonDate="0" containsString="0"/>
    </cacheField>
  </cacheFields>
  <cacheHierarchies count="4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Month)1]" caption="Date (Month)1" attribute="1" defaultMemberUniqueName="[Calender_Table].[Date (Month)1].[All]" allUniqueName="[Calender_Table].[Date (Month)1].[All]" dimensionUniqueName="[Calender_Table]" displayFolder="" count="0" memberValueDatatype="130" unbalanced="0"/>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1]" caption="Date (Year)1" attribute="1" defaultMemberUniqueName="[Calender_Table].[Date (Year)1].[All]" allUniqueName="[Calender_Table].[Date (Year)1].[All]" dimensionUniqueName="[Calender_Table]" displayFolder="" count="2" memberValueDatatype="130" unbalanced="0">
      <fieldsUsage count="2">
        <fieldUsage x="-1"/>
        <fieldUsage x="3"/>
      </fieldsUsage>
    </cacheHierarchy>
    <cacheHierarchy uniqueName="[Calender_Table].[Date (Quarter)1]" caption="Date (Quarter)1" attribute="1" defaultMemberUniqueName="[Calender_Table].[Date (Quarter)1].[All]" allUniqueName="[Calender_Table].[Date (Quarter)1].[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4"/>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Calender_Table].[Date (Month Index)1]" caption="Date (Month Index)1" attribute="1" defaultMemberUniqueName="[Calender_Table].[Date (Month Index)1].[All]" allUniqueName="[Calender_Table].[Date (Month Index)1].[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refreshedDate="46266.592261574071" createdVersion="5" refreshedVersion="7" minRefreshableVersion="3" recordCount="0" supportSubquery="1" supportAdvancedDrill="1" xr:uid="{7F060696-4E76-4FA6-BEE8-27D929C36B33}">
  <cacheSource type="external" connectionId="3"/>
  <cacheFields count="6">
    <cacheField name="[Measures].[Distinct Count of Patient Id]" caption="Distinct Count of Patient Id" numFmtId="0" hierarchy="28" level="32767"/>
    <cacheField name="[Calender_Table].[Date (Day)].[Date (Day)]" caption="Date (Day)" numFmtId="0" hierarchy="5"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3" level="1">
      <sharedItems containsSemiMixedTypes="0" containsNonDate="0" containsString="0"/>
    </cacheField>
    <cacheField name="[Calender_Table].[Date (Year)].[Date (Year)]" caption="Date (Year)" numFmtId="0" hierarchy="1" level="1">
      <sharedItems containsSemiMixedTypes="0" containsNonDate="0" containsString="0"/>
    </cacheField>
    <cacheField name="[Calender_Table].[Date (Year)1].[Date (Year)1]" caption="Date (Year)1" numFmtId="0" hierarchy="6" level="1">
      <sharedItems containsSemiMixedTypes="0" containsNonDate="0" containsString="0"/>
    </cacheField>
    <cacheField name="[Hospital Emergency Room Data].[Patient Gender].[Patient Gender]" caption="Patient Gender" numFmtId="0" hierarchy="12" level="1">
      <sharedItems containsSemiMixedTypes="0" containsNonDate="0" containsString="0"/>
    </cacheField>
  </cacheFields>
  <cacheHierarchies count="4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Month)1]" caption="Date (Month)1" attribute="1" defaultMemberUniqueName="[Calender_Table].[Date (Month)1].[All]" allUniqueName="[Calender_Table].[Date (Month)1].[All]" dimensionUniqueName="[Calender_Table]" displayFolder="" count="0" memberValueDatatype="130" unbalanced="0"/>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1]" caption="Date (Year)1" attribute="1" defaultMemberUniqueName="[Calender_Table].[Date (Year)1].[All]" allUniqueName="[Calender_Table].[Date (Year)1].[All]" dimensionUniqueName="[Calender_Table]" displayFolder="" count="2" memberValueDatatype="130" unbalanced="0">
      <fieldsUsage count="2">
        <fieldUsage x="-1"/>
        <fieldUsage x="4"/>
      </fieldsUsage>
    </cacheHierarchy>
    <cacheHierarchy uniqueName="[Calender_Table].[Date (Quarter)1]" caption="Date (Quarter)1" attribute="1" defaultMemberUniqueName="[Calender_Table].[Date (Quarter)1].[All]" allUniqueName="[Calender_Table].[Date (Quarter)1].[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5"/>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Calender_Table].[Date (Month Index)1]" caption="Date (Month Index)1" attribute="1" defaultMemberUniqueName="[Calender_Table].[Date (Month Index)1].[All]" allUniqueName="[Calender_Table].[Date (Month Index)1].[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refreshedDate="46266.592263541665" createdVersion="5" refreshedVersion="7" minRefreshableVersion="3" recordCount="0" supportSubquery="1" supportAdvancedDrill="1" xr:uid="{8D932AFF-0E27-44E9-AE43-FC2214F2CB19}">
  <cacheSource type="external" connectionId="3"/>
  <cacheFields count="5">
    <cacheField name="[Calender_Table].[Date (Day)].[Date (Day)]" caption="Date (Day)" numFmtId="0" hierarchy="5" level="1">
      <sharedItems count="30">
        <s v="1-May"/>
        <s v="2-May"/>
        <s v="3-May"/>
        <s v="4-May"/>
        <s v="5-May"/>
        <s v="6-May"/>
        <s v="7-May"/>
        <s v="8-May"/>
        <s v="9-May"/>
        <s v="10-May"/>
        <s v="11-May"/>
        <s v="12-May"/>
        <s v="13-May"/>
        <s v="14-May"/>
        <s v="16-May"/>
        <s v="17-May"/>
        <s v="18-May"/>
        <s v="19-May"/>
        <s v="20-May"/>
        <s v="21-May"/>
        <s v="22-May"/>
        <s v="23-May"/>
        <s v="24-May"/>
        <s v="25-May"/>
        <s v="26-May"/>
        <s v="27-May"/>
        <s v="28-May"/>
        <s v="29-May"/>
        <s v="30-May"/>
        <s v="31-May"/>
      </sharedItems>
    </cacheField>
    <cacheField name="[Calender_Table].[Date (Month)].[Date (Month)]" caption="Date (Month)" numFmtId="0" hierarchy="3" level="1">
      <sharedItems containsSemiMixedTypes="0" containsNonDate="0" containsString="0"/>
    </cacheField>
    <cacheField name="[Measures].[Sum of Patient Satisfaction Score]" caption="Sum of Patient Satisfaction Score" numFmtId="0" hierarchy="31" level="32767"/>
    <cacheField name="[Calender_Table].[Date (Year)1].[Date (Year)1]" caption="Date (Year)1" numFmtId="0" hierarchy="6" level="1">
      <sharedItems containsSemiMixedTypes="0" containsNonDate="0" containsString="0"/>
    </cacheField>
    <cacheField name="[Hospital Emergency Room Data].[Patient Gender].[Patient Gender]" caption="Patient Gender" numFmtId="0" hierarchy="12" level="1">
      <sharedItems containsSemiMixedTypes="0" containsNonDate="0" containsString="0"/>
    </cacheField>
  </cacheFields>
  <cacheHierarchies count="4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Month)1]" caption="Date (Month)1" attribute="1" defaultMemberUniqueName="[Calender_Table].[Date (Month)1].[All]" allUniqueName="[Calender_Table].[Date (Month)1].[All]" dimensionUniqueName="[Calender_Table]" displayFolder="" count="0" memberValueDatatype="130" unbalanced="0"/>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1]" caption="Date (Year)1" attribute="1" defaultMemberUniqueName="[Calender_Table].[Date (Year)1].[All]" allUniqueName="[Calender_Table].[Date (Year)1].[All]" dimensionUniqueName="[Calender_Table]" displayFolder="" count="2" memberValueDatatype="130" unbalanced="0">
      <fieldsUsage count="2">
        <fieldUsage x="-1"/>
        <fieldUsage x="3"/>
      </fieldsUsage>
    </cacheHierarchy>
    <cacheHierarchy uniqueName="[Calender_Table].[Date (Quarter)1]" caption="Date (Quarter)1" attribute="1" defaultMemberUniqueName="[Calender_Table].[Date (Quarter)1].[All]" allUniqueName="[Calender_Table].[Date (Quarter)1].[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4"/>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Calender_Table].[Date (Month Index)1]" caption="Date (Month Index)1" attribute="1" defaultMemberUniqueName="[Calender_Table].[Date (Month Index)1].[All]" allUniqueName="[Calender_Table].[Date (Month Index)1].[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refreshedDate="46266.592265509258" createdVersion="5" refreshedVersion="7" minRefreshableVersion="3" recordCount="0" supportSubquery="1" supportAdvancedDrill="1" xr:uid="{8154F239-E5A5-459F-B182-91454C0CAE91}">
  <cacheSource type="external" connectionId="3"/>
  <cacheFields count="6">
    <cacheField name="[Calender_Table].[Date (Month)].[Date (Month)]" caption="Date (Month)" numFmtId="0" hierarchy="3" level="1">
      <sharedItems containsSemiMixedTypes="0" containsNonDate="0" containsString="0"/>
    </cacheField>
    <cacheField name="[Hospital Emergency Room Data].[Patient Admission Flag].[Patient Admission Flag]" caption="Patient Admission Flag" numFmtId="0" hierarchy="16" level="1">
      <sharedItems count="2">
        <s v="Admitted"/>
        <s v="Not Admitted"/>
      </sharedItems>
    </cacheField>
    <cacheField name="[Measures].[Count of Patient Admission Flag]" caption="Count of Patient Admission Flag" numFmtId="0" hierarchy="33" level="32767"/>
    <cacheField name="[Calender_Table].[Date (Year)1].[Date (Year)1]" caption="Date (Year)1" numFmtId="0" hierarchy="6" level="1">
      <sharedItems containsSemiMixedTypes="0" containsNonDate="0" containsString="0"/>
    </cacheField>
    <cacheField name="[Hospital Emergency Room Data].[Patient Gender].[Patient Gender]" caption="Patient Gender" numFmtId="0" hierarchy="12" level="1">
      <sharedItems containsSemiMixedTypes="0" containsNonDate="0" containsString="0"/>
    </cacheField>
    <cacheField name="Dummy0" numFmtId="0" hierarchy="40" level="32767">
      <extLst>
        <ext xmlns:x14="http://schemas.microsoft.com/office/spreadsheetml/2009/9/main" uri="{63CAB8AC-B538-458d-9737-405883B0398D}">
          <x14:cacheField ignore="1"/>
        </ext>
      </extLst>
    </cacheField>
  </cacheFields>
  <cacheHierarchies count="4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Month)1]" caption="Date (Month)1" attribute="1" defaultMemberUniqueName="[Calender_Table].[Date (Month)1].[All]" allUniqueName="[Calender_Table].[Date (Month)1].[All]" dimensionUniqueName="[Calender_Table]" displayFolder="" count="0"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1]" caption="Date (Year)1" attribute="1" defaultMemberUniqueName="[Calender_Table].[Date (Year)1].[All]" allUniqueName="[Calender_Table].[Date (Year)1].[All]" dimensionUniqueName="[Calender_Table]" displayFolder="" count="2" memberValueDatatype="130" unbalanced="0">
      <fieldsUsage count="2">
        <fieldUsage x="-1"/>
        <fieldUsage x="3"/>
      </fieldsUsage>
    </cacheHierarchy>
    <cacheHierarchy uniqueName="[Calender_Table].[Date (Quarter)1]" caption="Date (Quarter)1" attribute="1" defaultMemberUniqueName="[Calender_Table].[Date (Quarter)1].[All]" allUniqueName="[Calender_Table].[Date (Quarter)1].[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4"/>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Calender_Table].[Date (Month Index)1]" caption="Date (Month Index)1" attribute="1" defaultMemberUniqueName="[Calender_Table].[Date (Month Index)1].[All]" allUniqueName="[Calender_Table].[Date (Month Index)1].[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5"/>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refreshedDate="46266.592266550928" createdVersion="5" refreshedVersion="7" minRefreshableVersion="3" recordCount="0" supportSubquery="1" supportAdvancedDrill="1" xr:uid="{2F1C04DE-5F6B-4A00-ACE5-86011ACC167B}">
  <cacheSource type="external" connectionId="3"/>
  <cacheFields count="5">
    <cacheField name="[Calender_Table].[Date (Month)].[Date (Month)]" caption="Date (Month)" numFmtId="0" hierarchy="3" level="1">
      <sharedItems containsSemiMixedTypes="0" containsNonDate="0" containsString="0"/>
    </cacheField>
    <cacheField name="[Hospital Emergency Room Data].[Age Group].[Age Group]" caption="Age Group" numFmtId="0" hierarchy="19" level="1">
      <sharedItems count="7">
        <s v="0-9"/>
        <s v="20-29"/>
        <s v="30-39"/>
        <s v="40-49"/>
        <s v="50-59"/>
        <s v="60-69"/>
        <s v="70-79"/>
      </sharedItems>
    </cacheField>
    <cacheField name="[Measures].[Count of Age Group]" caption="Count of Age Group" numFmtId="0" hierarchy="36" level="32767"/>
    <cacheField name="[Calender_Table].[Date (Year)1].[Date (Year)1]" caption="Date (Year)1" numFmtId="0" hierarchy="6" level="1">
      <sharedItems containsSemiMixedTypes="0" containsNonDate="0" containsString="0"/>
    </cacheField>
    <cacheField name="[Hospital Emergency Room Data].[Patient Gender].[Patient Gender]" caption="Patient Gender" numFmtId="0" hierarchy="12" level="1">
      <sharedItems containsSemiMixedTypes="0" containsNonDate="0" containsString="0"/>
    </cacheField>
  </cacheFields>
  <cacheHierarchies count="4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Month)1]" caption="Date (Month)1" attribute="1" defaultMemberUniqueName="[Calender_Table].[Date (Month)1].[All]" allUniqueName="[Calender_Table].[Date (Month)1].[All]" dimensionUniqueName="[Calender_Table]" displayFolder="" count="0"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1]" caption="Date (Year)1" attribute="1" defaultMemberUniqueName="[Calender_Table].[Date (Year)1].[All]" allUniqueName="[Calender_Table].[Date (Year)1].[All]" dimensionUniqueName="[Calender_Table]" displayFolder="" count="2" memberValueDatatype="130" unbalanced="0">
      <fieldsUsage count="2">
        <fieldUsage x="-1"/>
        <fieldUsage x="3"/>
      </fieldsUsage>
    </cacheHierarchy>
    <cacheHierarchy uniqueName="[Calender_Table].[Date (Quarter)1]" caption="Date (Quarter)1" attribute="1" defaultMemberUniqueName="[Calender_Table].[Date (Quarter)1].[All]" allUniqueName="[Calender_Table].[Date (Quarter)1].[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4"/>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Calender_Table].[Date (Month Index)1]" caption="Date (Month Index)1" attribute="1" defaultMemberUniqueName="[Calender_Table].[Date (Month Index)1].[All]" allUniqueName="[Calender_Table].[Date (Month Index)1].[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refreshedDate="46266.592267476852" createdVersion="5" refreshedVersion="7" minRefreshableVersion="3" recordCount="0" supportSubquery="1" supportAdvancedDrill="1" xr:uid="{50163DCD-B871-4ABD-83D3-E86956BCB768}">
  <cacheSource type="external" connectionId="3"/>
  <cacheFields count="5">
    <cacheField name="[Calender_Table].[Date (Month)].[Date (Month)]" caption="Date (Month)" numFmtId="0" hierarchy="3" level="1">
      <sharedItems containsSemiMixedTypes="0" containsNonDate="0" containsString="0"/>
    </cacheField>
    <cacheField name="[Hospital Emergency Room Data].[Patient Attend Status].[Patient Attend Status]" caption="Patient Attend Status" numFmtId="0" hierarchy="20" level="1">
      <sharedItems count="2">
        <s v="Delay"/>
        <s v="Ontime"/>
      </sharedItems>
    </cacheField>
    <cacheField name="[Measures].[Count of Patient Attend Status]" caption="Count of Patient Attend Status" numFmtId="0" hierarchy="37" level="32767"/>
    <cacheField name="[Calender_Table].[Date (Year)1].[Date (Year)1]" caption="Date (Year)1" numFmtId="0" hierarchy="6" level="1">
      <sharedItems containsSemiMixedTypes="0" containsNonDate="0" containsString="0"/>
    </cacheField>
    <cacheField name="[Hospital Emergency Room Data].[Patient Gender].[Patient Gender]" caption="Patient Gender" numFmtId="0" hierarchy="12" level="1">
      <sharedItems containsSemiMixedTypes="0" containsNonDate="0" containsString="0"/>
    </cacheField>
  </cacheFields>
  <cacheHierarchies count="4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Month)1]" caption="Date (Month)1" attribute="1" defaultMemberUniqueName="[Calender_Table].[Date (Month)1].[All]" allUniqueName="[Calender_Table].[Date (Month)1].[All]" dimensionUniqueName="[Calender_Table]" displayFolder="" count="0"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1]" caption="Date (Year)1" attribute="1" defaultMemberUniqueName="[Calender_Table].[Date (Year)1].[All]" allUniqueName="[Calender_Table].[Date (Year)1].[All]" dimensionUniqueName="[Calender_Table]" displayFolder="" count="2" memberValueDatatype="130" unbalanced="0">
      <fieldsUsage count="2">
        <fieldUsage x="-1"/>
        <fieldUsage x="3"/>
      </fieldsUsage>
    </cacheHierarchy>
    <cacheHierarchy uniqueName="[Calender_Table].[Date (Quarter)1]" caption="Date (Quarter)1" attribute="1" defaultMemberUniqueName="[Calender_Table].[Date (Quarter)1].[All]" allUniqueName="[Calender_Table].[Date (Quarter)1].[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4"/>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Calender_Table].[Date (Month Index)1]" caption="Date (Month Index)1" attribute="1" defaultMemberUniqueName="[Calender_Table].[Date (Month Index)1].[All]" allUniqueName="[Calender_Table].[Date (Month Index)1].[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refreshedDate="46266.59226863426" createdVersion="5" refreshedVersion="7" minRefreshableVersion="3" recordCount="0" supportSubquery="1" supportAdvancedDrill="1" xr:uid="{B88C8498-EBD9-4890-8EE8-B1B856506579}">
  <cacheSource type="external" connectionId="3"/>
  <cacheFields count="4">
    <cacheField name="[Calender_Table].[Date (Month)].[Date (Month)]" caption="Date (Month)" numFmtId="0" hierarchy="3" level="1">
      <sharedItems containsSemiMixedTypes="0" containsNonDate="0" containsString="0"/>
    </cacheField>
    <cacheField name="[Calender_Table].[Date (Year)1].[Date (Year)1]" caption="Date (Year)1" numFmtId="0" hierarchy="6" level="1">
      <sharedItems containsSemiMixedTypes="0" containsNonDate="0" containsString="0"/>
    </cacheField>
    <cacheField name="[Hospital Emergency Room Data].[Patient Gender].[Patient Gender]" caption="Patient Gender" numFmtId="0" hierarchy="12" level="1">
      <sharedItems count="2">
        <s v="Female"/>
        <s v="Male"/>
      </sharedItems>
    </cacheField>
    <cacheField name="[Measures].[Count of Patient Gender]" caption="Count of Patient Gender" numFmtId="0" hierarchy="38" level="32767"/>
  </cacheFields>
  <cacheHierarchies count="40">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Month)1]" caption="Date (Month)1" attribute="1" defaultMemberUniqueName="[Calender_Table].[Date (Month)1].[All]" allUniqueName="[Calender_Table].[Date (Month)1].[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1]" caption="Date (Year)1" attribute="1" defaultMemberUniqueName="[Calender_Table].[Date (Year)1].[All]" allUniqueName="[Calender_Table].[Date (Year)1].[All]" dimensionUniqueName="[Calender_Table]" displayFolder="" count="2" memberValueDatatype="130" unbalanced="0">
      <fieldsUsage count="2">
        <fieldUsage x="-1"/>
        <fieldUsage x="1"/>
      </fieldsUsage>
    </cacheHierarchy>
    <cacheHierarchy uniqueName="[Calender_Table].[Date (Quarter)1]" caption="Date (Quarter)1" attribute="1" defaultMemberUniqueName="[Calender_Table].[Date (Quarter)1].[All]" allUniqueName="[Calender_Table].[Date (Quarter)1].[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Calender_Table].[Date (Month Index)1]" caption="Date (Month Index)1" attribute="1" defaultMemberUniqueName="[Calender_Table].[Date (Month Index)1].[All]" allUniqueName="[Calender_Table].[Date (Month Index)1].[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Count of Patient Gender]" caption="Count of Patient Gender" measure="1" displayFolder="" measureGroup="Hospital Emergency Room Data" count="0" oneField="1" hidden="1">
      <fieldsUsage count="1">
        <fieldUsage x="3"/>
      </fieldsUsage>
      <extLst>
        <ext xmlns:x15="http://schemas.microsoft.com/office/spreadsheetml/2010/11/main" uri="{B97F6D7D-B522-45F9-BDA1-12C45D357490}">
          <x15:cacheHierarchy aggregatedColumn="12"/>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refreshedDate="46250.830465046296" createdVersion="3" refreshedVersion="7" minRefreshableVersion="3" recordCount="0" supportSubquery="1" supportAdvancedDrill="1" xr:uid="{E9A911A5-C2BA-44C4-9D4A-86474FFD92FD}">
  <cacheSource type="external" connectionId="3">
    <extLst>
      <ext xmlns:x14="http://schemas.microsoft.com/office/spreadsheetml/2009/9/main" uri="{F057638F-6D5F-4e77-A914-E7F072B9BCA8}">
        <x14:sourceConnection name="ThisWorkbookDataModel"/>
      </ext>
    </extLst>
  </cacheSource>
  <cacheFields count="0"/>
  <cacheHierarchies count="4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Month)1]" caption="Date (Month)1" attribute="1" defaultMemberUniqueName="[Calender_Table].[Date (Month)1].[All]" allUniqueName="[Calender_Table].[Date (Month)1].[All]" dimensionUniqueName="[Calender_Table]" displayFolder="" count="0"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1]" caption="Date (Year)1" attribute="1" defaultMemberUniqueName="[Calender_Table].[Date (Year)1].[All]" allUniqueName="[Calender_Table].[Date (Year)1].[All]" dimensionUniqueName="[Calender_Table]" displayFolder="" count="2" memberValueDatatype="130" unbalanced="0"/>
    <cacheHierarchy uniqueName="[Calender_Table].[Date (Quarter)1]" caption="Date (Quarter)1" attribute="1" defaultMemberUniqueName="[Calender_Table].[Date (Quarter)1].[All]" allUniqueName="[Calender_Table].[Date (Quarter)1].[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Calender_Table].[Date (Month Index)1]" caption="Date (Month Index)1" attribute="1" defaultMemberUniqueName="[Calender_Table].[Date (Month Index)1].[All]" allUniqueName="[Calender_Table].[Date (Month Index)1].[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2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8657535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3BB2C3-F263-4FE3-9F73-CFE45EEA6A16}" name="PivotTable14" cacheId="557" applyNumberFormats="0" applyBorderFormats="0" applyFontFormats="0" applyPatternFormats="0" applyAlignmentFormats="0" applyWidthHeightFormats="1" dataCaption="Values" tag="4ea2b63c-ffa5-421b-8487-9b7d8d1089ea" updatedVersion="7" minRefreshableVersion="3" useAutoFormatting="1" subtotalHiddenItems="1" itemPrintTitles="1" createdVersion="5" indent="0" outline="1" outlineData="1" multipleFieldFilters="0">
  <location ref="A22:B25"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2"/>
  </rowFields>
  <rowItems count="3">
    <i>
      <x/>
    </i>
    <i>
      <x v="1"/>
    </i>
    <i t="grand">
      <x/>
    </i>
  </rowItems>
  <colItems count="1">
    <i/>
  </colItems>
  <dataFields count="1">
    <dataField name="Count of Patient Gender" fld="3" subtotal="count" baseField="0" baseItem="0"/>
  </dataFields>
  <pivotHierarchies count="40">
    <pivotHierarchy dragToData="1"/>
    <pivotHierarchy dragToData="1"/>
    <pivotHierarchy dragToData="1"/>
    <pivotHierarchy multipleItemSelectionAllowed="1" dragToData="1">
      <members count="1" level="1">
        <member name="[Calender_Table].[Date (Month)].&amp;[May]"/>
      </members>
    </pivotHierarchy>
    <pivotHierarchy dragToData="1"/>
    <pivotHierarchy dragToData="1"/>
    <pivotHierarchy multipleItemSelectionAllowed="1" dragToData="1">
      <members count="1" level="1">
        <member name="[Calender_Table].[Date (Year)1].&amp;[2023]"/>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A84B2C-A58A-4F41-AAD5-F639ACD1C888}" name="PivotTable12" cacheId="530" applyNumberFormats="0" applyBorderFormats="0" applyFontFormats="0" applyPatternFormats="0" applyAlignmentFormats="0" applyWidthHeightFormats="1" dataCaption="Values" tag="1f2c7427-859b-47cc-9ea7-9a58e5026795" updatedVersion="7" minRefreshableVersion="3" subtotalHiddenItems="1" itemPrintTitles="1" createdVersion="5" indent="0" outline="1" outlineData="1" multipleFieldFilters="0" chartFormat="15">
  <location ref="A93:A95" firstHeaderRow="1" firstDataRow="1" firstDataCol="1"/>
  <pivotFields count="6">
    <pivotField allDrilled="1" subtotalTop="0" showAll="0" dataSourceSort="1" defaultSubtotal="0" defaultAttributeDrillState="1"/>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 allDrilled="1" subtotalTop="0" showAll="0" dataSourceSort="1" defaultSubtotal="0" defaultAttributeDrillState="1"/>
  </pivotFields>
  <rowFields count="4">
    <field x="4"/>
    <field x="3"/>
    <field x="2"/>
    <field x="1"/>
  </rowFields>
  <rowItems count="2">
    <i>
      <x/>
    </i>
    <i t="grand">
      <x/>
    </i>
  </rowItems>
  <formats count="1">
    <format dxfId="22">
      <pivotArea outline="0" collapsedLevelsAreSubtotals="1" fieldPosition="0"/>
    </format>
  </formats>
  <pivotHierarchies count="40">
    <pivotHierarchy dragToData="1"/>
    <pivotHierarchy dragToData="1"/>
    <pivotHierarchy dragToData="1"/>
    <pivotHierarchy multipleItemSelectionAllowed="1" dragToData="1">
      <members count="1" level="1">
        <member name="[Calender_Table].[Date (Month)].&amp;[May]"/>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6"/>
    <rowHierarchyUsage hierarchyUsage="7"/>
    <rowHierarchyUsage hierarchyUsage="4"/>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E46138-7AAB-438E-BFA4-CCA3F5364027}" name="PivotTable3" cacheId="536" applyNumberFormats="0" applyBorderFormats="0" applyFontFormats="0" applyPatternFormats="0" applyAlignmentFormats="0" applyWidthHeightFormats="1" dataCaption="Values" tag="c08079dc-ccb7-4fa4-9e95-f82f3d7827f0" updatedVersion="7" minRefreshableVersion="3" useAutoFormatting="1" subtotalHiddenItems="1" itemPrintTitles="1" createdVersion="5" indent="0" outline="1" outlineData="1" multipleFieldFilters="0">
  <location ref="A12:A13"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0">
      <pivotArea outline="0" collapsedLevelsAreSubtotals="1" fieldPosition="0"/>
    </format>
  </formats>
  <pivotHierarchies count="40">
    <pivotHierarchy dragToData="1"/>
    <pivotHierarchy dragToData="1"/>
    <pivotHierarchy dragToData="1"/>
    <pivotHierarchy multipleItemSelectionAllowed="1" dragToData="1">
      <members count="1" level="1">
        <member name="[Calender_Table].[Date (Month)].&amp;[May]"/>
      </members>
    </pivotHierarchy>
    <pivotHierarchy dragToData="1"/>
    <pivotHierarchy dragToData="1"/>
    <pivotHierarchy multipleItemSelectionAllowed="1" dragToData="1">
      <members count="1" level="1">
        <member name="[Calender_Table].[Date (Year)1].&amp;[2023]"/>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5344F9-359D-43C3-B14E-7FB29C545FB2}" name="PivotTable4" cacheId="539" applyNumberFormats="0" applyBorderFormats="0" applyFontFormats="0" applyPatternFormats="0" applyAlignmentFormats="0" applyWidthHeightFormats="1" dataCaption="Values" tag="a9355765-899c-47f3-9740-74e8bbbb7dda" updatedVersion="7" minRefreshableVersion="3" useAutoFormatting="1" subtotalHiddenItems="1" itemPrintTitles="1" createdVersion="5" indent="0" outline="1" outlineData="1" multipleFieldFilters="0" chartFormat="18">
  <location ref="F4:G36" firstHeaderRow="1" firstDataRow="1" firstDataCol="1"/>
  <pivotFields count="5">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19">
      <pivotArea outline="0" collapsedLevelsAreSubtotals="1" fieldPosition="0"/>
    </format>
  </formats>
  <chartFormats count="2">
    <chartFormat chart="13"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multipleItemSelectionAllowed="1" dragToData="1">
      <members count="1" level="1">
        <member name="[Calender_Table].[Date (Month)].&amp;[May]"/>
      </members>
    </pivotHierarchy>
    <pivotHierarchy dragToData="1"/>
    <pivotHierarchy dragToData="1"/>
    <pivotHierarchy multipleItemSelectionAllowed="1" dragToData="1">
      <members count="1" level="1">
        <member name="[Calender_Table].[Date (Year)1].&amp;[2023]"/>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733349-6B37-4496-A45A-5AAB0C6EE43F}" name="PivotTable11" cacheId="527" applyNumberFormats="0" applyBorderFormats="0" applyFontFormats="0" applyPatternFormats="0" applyAlignmentFormats="0" applyWidthHeightFormats="1" dataCaption="Values" tag="5f4b1b21-4e93-4f9c-b080-20aba51f3773" updatedVersion="7" minRefreshableVersion="3" subtotalHiddenItems="1" itemPrintTitles="1" createdVersion="5" indent="0" outline="1" outlineData="1" multipleFieldFilters="0" chartFormat="15">
  <location ref="A81:B90" firstHeaderRow="1" firstDataRow="1" firstDataCol="1"/>
  <pivotFields count="5">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v="7"/>
    </i>
    <i>
      <x v="3"/>
    </i>
    <i>
      <x/>
    </i>
    <i>
      <x v="1"/>
    </i>
    <i>
      <x v="6"/>
    </i>
    <i>
      <x v="5"/>
    </i>
    <i>
      <x v="2"/>
    </i>
    <i>
      <x v="4"/>
    </i>
    <i t="grand">
      <x/>
    </i>
  </rowItems>
  <colItems count="1">
    <i/>
  </colItems>
  <dataFields count="1">
    <dataField name="Count of Department Referral" fld="2" subtotal="count" baseField="0" baseItem="0"/>
  </dataFields>
  <formats count="2">
    <format dxfId="23">
      <pivotArea outline="0" collapsedLevelsAreSubtotals="1" fieldPosition="0"/>
    </format>
    <format dxfId="24">
      <pivotArea collapsedLevelsAreSubtotals="1" fieldPosition="0">
        <references count="1">
          <reference field="1" count="0"/>
        </references>
      </pivotArea>
    </format>
  </formats>
  <chartFormats count="1">
    <chartFormat chart="14"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multipleItemSelectionAllowed="1" dragToData="1">
      <members count="1" level="1">
        <member name="[Calender_Table].[Date (Month)].&amp;[May]"/>
      </members>
    </pivotHierarchy>
    <pivotHierarchy dragToData="1"/>
    <pivotHierarchy dragToData="1"/>
    <pivotHierarchy multipleItemSelectionAllowed="1" dragToData="1">
      <members count="1" level="1">
        <member name="[Calender_Table].[Date (Year)1].&amp;[2023]"/>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5EB231-30DA-4ECA-B433-E6050494A0F7}" name="PivotTable7" cacheId="548" applyNumberFormats="0" applyBorderFormats="0" applyFontFormats="0" applyPatternFormats="0" applyAlignmentFormats="0" applyWidthHeightFormats="1" dataCaption="Values" tag="51eb44af-6d06-4872-b428-9bc445ef4735" updatedVersion="7" minRefreshableVersion="3" subtotalHiddenItems="1" itemPrintTitles="1" createdVersion="5" indent="0" outline="1" outlineData="1" multipleFieldFilters="0" chartFormat="3">
  <location ref="A43:C46" firstHeaderRow="0" firstDataRow="1" firstDataCol="1"/>
  <pivotFields count="6">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5"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16">
      <pivotArea outline="0" collapsedLevelsAreSubtotals="1" fieldPosition="0"/>
    </format>
    <format dxfId="17">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41">
    <pivotHierarchy dragToData="1"/>
    <pivotHierarchy dragToData="1"/>
    <pivotHierarchy dragToData="1"/>
    <pivotHierarchy multipleItemSelectionAllowed="1" dragToData="1">
      <members count="1" level="1">
        <member name="[Calender_Table].[Date (Month)].&amp;[May]"/>
      </members>
    </pivotHierarchy>
    <pivotHierarchy dragToData="1"/>
    <pivotHierarchy dragToData="1"/>
    <pivotHierarchy multipleItemSelectionAllowed="1" dragToData="1">
      <members count="1" level="1">
        <member name="[Calender_Table].[Date (Year)1].&amp;[2023]"/>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FEF031-0733-4B9D-AD99-FEDE2F5CBC2E}" name="PivotTable1" cacheId="521" applyNumberFormats="0" applyBorderFormats="0" applyFontFormats="0" applyPatternFormats="0" applyAlignmentFormats="0" applyWidthHeightFormats="1" dataCaption="Values" tag="4ea2b63c-ffa5-421b-8487-9b7d8d1089ea" updatedVersion="7" minRefreshableVersion="3" useAutoFormatting="1" subtotalHiddenItems="1" itemPrintTitles="1" createdVersion="5" indent="0" outline="1" outlineData="1" multipleFieldFilters="0">
  <location ref="A4:A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40">
    <pivotHierarchy dragToData="1"/>
    <pivotHierarchy dragToData="1"/>
    <pivotHierarchy dragToData="1"/>
    <pivotHierarchy multipleItemSelectionAllowed="1" dragToData="1">
      <members count="1" level="1">
        <member name="[Calender_Table].[Date (Month)].&amp;[May]"/>
      </members>
    </pivotHierarchy>
    <pivotHierarchy dragToData="1"/>
    <pivotHierarchy dragToData="1"/>
    <pivotHierarchy multipleItemSelectionAllowed="1" dragToData="1">
      <members count="1" level="1">
        <member name="[Calender_Table].[Date (Year)1].&amp;[2023]"/>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58A930-B1A4-4BB1-B3D6-54594846D901}" name="PivotTable9" cacheId="554" applyNumberFormats="0" applyBorderFormats="0" applyFontFormats="0" applyPatternFormats="0" applyAlignmentFormats="0" applyWidthHeightFormats="1" dataCaption="Values" tag="076e9d76-43fa-41d8-b33a-bd1e834c7da9" updatedVersion="7" minRefreshableVersion="3" subtotalHiddenItems="1" itemPrintTitles="1" createdVersion="5" indent="0" outline="1" outlineData="1" multipleFieldFilters="0" chartFormat="9">
  <location ref="A67:B70" firstHeaderRow="1"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13">
      <pivotArea outline="0" collapsedLevelsAreSubtotals="1" fieldPosition="0"/>
    </format>
  </formats>
  <chartFormats count="3">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0"/>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s>
  <pivotHierarchies count="40">
    <pivotHierarchy dragToData="1"/>
    <pivotHierarchy dragToData="1"/>
    <pivotHierarchy dragToData="1"/>
    <pivotHierarchy multipleItemSelectionAllowed="1" dragToData="1">
      <members count="1" level="1">
        <member name="[Calender_Table].[Date (Month)].&amp;[May]"/>
      </members>
    </pivotHierarchy>
    <pivotHierarchy dragToData="1"/>
    <pivotHierarchy dragToData="1"/>
    <pivotHierarchy multipleItemSelectionAllowed="1" dragToData="1">
      <members count="1" level="1">
        <member name="[Calender_Table].[Date (Year)1].&amp;[2023]"/>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230534-9AAE-4C81-84D9-C2F22999116C}" name="PivotTable2" cacheId="533" applyNumberFormats="0" applyBorderFormats="0" applyFontFormats="0" applyPatternFormats="0" applyAlignmentFormats="0" applyWidthHeightFormats="1" dataCaption="Values" tag="f79b9b39-a110-4083-8d7b-6a1991bc140a" updatedVersion="7" minRefreshableVersion="3" useAutoFormatting="1" subtotalHiddenItems="1" itemPrintTitles="1" createdVersion="5" indent="0" outline="1" outlineData="1" multipleFieldFilters="0">
  <location ref="A9:A10"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1">
      <pivotArea outline="0" collapsedLevelsAreSubtotals="1" fieldPosition="0"/>
    </format>
  </formats>
  <pivotHierarchies count="40">
    <pivotHierarchy dragToData="1"/>
    <pivotHierarchy dragToData="1"/>
    <pivotHierarchy dragToData="1"/>
    <pivotHierarchy multipleItemSelectionAllowed="1" dragToData="1">
      <members count="1" level="1">
        <member name="[Calender_Table].[Date (Month)].&amp;[May]"/>
      </members>
    </pivotHierarchy>
    <pivotHierarchy dragToData="1"/>
    <pivotHierarchy dragToData="1"/>
    <pivotHierarchy multipleItemSelectionAllowed="1" dragToData="1">
      <members count="1" level="1">
        <member name="[Calender_Table].[Date (Year)1].&amp;[2023]"/>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FA6A7A7-5AE0-4ED4-8832-29C86B1C9151}" name="PivotTable5" cacheId="542" applyNumberFormats="0" applyBorderFormats="0" applyFontFormats="0" applyPatternFormats="0" applyAlignmentFormats="0" applyWidthHeightFormats="1" dataCaption="Values" tag="a5e7df31-5366-4c52-abd3-b123e872ec05" updatedVersion="7" minRefreshableVersion="3" useAutoFormatting="1" subtotalHiddenItems="1" itemPrintTitles="1" createdVersion="5" indent="0" outline="1" outlineData="1" multipleFieldFilters="0" chartFormat="9">
  <location ref="C4:D36" firstHeaderRow="1" firstDataRow="1" firstDataCol="1"/>
  <pivotFields count="6">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multipleItemSelectionAllowed="1" dragToData="1">
      <members count="1" level="1">
        <member name="[Calender_Table].[Date (Year)1].&amp;[2023]"/>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2036341-B1BA-41A4-91B8-BC60EEA9C8DB}" name="PivotTable6" cacheId="545" applyNumberFormats="0" applyBorderFormats="0" applyFontFormats="0" applyPatternFormats="0" applyAlignmentFormats="0" applyWidthHeightFormats="1" dataCaption="Values" tag="5aeba4ee-cd03-48f9-95b7-7d5e377e2c86" updatedVersion="7" minRefreshableVersion="3" useAutoFormatting="1" subtotalHiddenItems="1" itemPrintTitles="1" createdVersion="5" indent="0" outline="1" outlineData="1" multipleFieldFilters="0" chartFormat="24">
  <location ref="I4:J35" firstHeaderRow="1" firstDataRow="1" firstDataCol="1"/>
  <pivotFields count="5">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Patient Satisfaction Score" fld="2" baseField="0" baseItem="0"/>
  </dataFields>
  <formats count="1">
    <format dxfId="18">
      <pivotArea outline="0" collapsedLevelsAreSubtotals="1" fieldPosition="0"/>
    </format>
  </formats>
  <chartFormats count="2">
    <chartFormat chart="20"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multipleItemSelectionAllowed="1" dragToData="1">
      <members count="1" level="1">
        <member name="[Calender_Table].[Date (Month)].&amp;[May]"/>
      </members>
    </pivotHierarchy>
    <pivotHierarchy dragToData="1"/>
    <pivotHierarchy dragToData="1"/>
    <pivotHierarchy multipleItemSelectionAllowed="1" dragToData="1">
      <members count="1" level="1">
        <member name="[Calender_Table].[Date (Year)1].&amp;[2023]"/>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9421038-7545-4F1F-9E2D-087279BA568A}" name="PivotTable8" cacheId="551" applyNumberFormats="0" applyBorderFormats="0" applyFontFormats="0" applyPatternFormats="0" applyAlignmentFormats="0" applyWidthHeightFormats="1" dataCaption="Values" tag="4672b294-4de4-4d41-84ec-97234de3cd71" updatedVersion="7" minRefreshableVersion="3" subtotalHiddenItems="1" itemPrintTitles="1" createdVersion="5" indent="0" outline="1" outlineData="1" multipleFieldFilters="0" chartFormat="6">
  <location ref="A55:B63" firstHeaderRow="1"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Age Group" fld="2" subtotal="count" baseField="0" baseItem="0"/>
  </dataFields>
  <formats count="2">
    <format dxfId="14">
      <pivotArea outline="0" collapsedLevelsAreSubtotals="1" fieldPosition="0"/>
    </format>
    <format dxfId="15">
      <pivotArea collapsedLevelsAreSubtotals="1" fieldPosition="0">
        <references count="1">
          <reference field="1" count="0"/>
        </references>
      </pivotArea>
    </format>
  </formats>
  <chartFormats count="1">
    <chartFormat chart="5"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multipleItemSelectionAllowed="1" dragToData="1">
      <members count="1" level="1">
        <member name="[Calender_Table].[Date (Month)].&amp;[May]"/>
      </members>
    </pivotHierarchy>
    <pivotHierarchy dragToData="1"/>
    <pivotHierarchy dragToData="1"/>
    <pivotHierarchy multipleItemSelectionAllowed="1" dragToData="1">
      <members count="1" level="1">
        <member name="[Calender_Table].[Date (Year)1].&amp;[2023]"/>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6B9859D-E30A-4333-ABA5-1BF5FA43EE5E}" name="PivotTable10" cacheId="524" applyNumberFormats="0" applyBorderFormats="0" applyFontFormats="0" applyPatternFormats="0" applyAlignmentFormats="0" applyWidthHeightFormats="1" dataCaption="Values" tag="809777bf-5a0f-4826-bf42-576d46b4829c" updatedVersion="7" minRefreshableVersion="3" subtotalHiddenItems="1" itemPrintTitles="1" createdVersion="5" indent="0" outline="1" outlineData="1" multipleFieldFilters="0" chartFormat="12">
  <location ref="A74:B7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25">
      <pivotArea outline="0" collapsedLevelsAreSubtotals="1" fieldPosition="0"/>
    </format>
  </format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40">
    <pivotHierarchy dragToData="1"/>
    <pivotHierarchy dragToData="1"/>
    <pivotHierarchy dragToData="1"/>
    <pivotHierarchy multipleItemSelectionAllowed="1" dragToData="1">
      <members count="1" level="1">
        <member name="[Calender_Table].[Date (Month)].&amp;[May]"/>
      </members>
    </pivotHierarchy>
    <pivotHierarchy dragToData="1"/>
    <pivotHierarchy dragToData="1"/>
    <pivotHierarchy multipleItemSelectionAllowed="1" dragToData="1">
      <members count="1" level="1">
        <member name="[Calender_Table].[Date (Year)1].&amp;[2023]"/>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BB35842-DC3C-49DD-A1EB-8352143195B3}" name="PivotTable13" cacheId="518" applyNumberFormats="0" applyBorderFormats="0" applyFontFormats="0" applyPatternFormats="0" applyAlignmentFormats="0" applyWidthHeightFormats="1" dataCaption="Values" tag="4ea2b63c-ffa5-421b-8487-9b7d8d1089ea" updatedVersion="7" minRefreshableVersion="3" useAutoFormatting="1" subtotalHiddenItems="1" itemPrintTitles="1" createdVersion="5" indent="0" outline="1" outlineData="1" multipleFieldFilters="0">
  <location ref="A16:B19" firstHeaderRow="1" firstDataRow="1" firstDataCol="1"/>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s>
  <rowFields count="1">
    <field x="3"/>
  </rowFields>
  <rowItems count="3">
    <i>
      <x/>
    </i>
    <i>
      <x v="1"/>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40">
    <pivotHierarchy dragToData="1"/>
    <pivotHierarchy dragToData="1"/>
    <pivotHierarchy dragToData="1"/>
    <pivotHierarchy multipleItemSelectionAllowed="1" dragToData="1">
      <members count="1" level="1">
        <member name="[Calender_Table].[Date (Month)].&amp;[May]"/>
      </members>
    </pivotHierarchy>
    <pivotHierarchy dragToData="1"/>
    <pivotHierarchy dragToData="1"/>
    <pivotHierarchy multipleItemSelectionAllowed="1" dragToData="1">
      <members count="1" level="1">
        <member name="[Calender_Table].[Date (Year)1].&amp;[2023]"/>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72C538F4-3F46-4A41-93AA-D1D8C2F22E23}" sourceName="[Calender_Table].[Date (Month)]">
  <pivotTables>
    <pivotTable tabId="1" name="PivotTable5"/>
    <pivotTable tabId="1" name="PivotTable1"/>
    <pivotTable tabId="1" name="PivotTable2"/>
    <pivotTable tabId="1" name="PivotTable3"/>
    <pivotTable tabId="1" name="PivotTable4"/>
    <pivotTable tabId="1" name="PivotTable6"/>
    <pivotTable tabId="1" name="PivotTable7"/>
    <pivotTable tabId="1" name="PivotTable8"/>
    <pivotTable tabId="1" name="PivotTable9"/>
    <pivotTable tabId="1" name="PivotTable10"/>
    <pivotTable tabId="1" name="PivotTable11"/>
    <pivotTable tabId="1" name="PivotTable12"/>
    <pivotTable tabId="1" name="PivotTable13"/>
    <pivotTable tabId="1" name="PivotTable14"/>
  </pivotTables>
  <data>
    <olap pivotCacheId="1865753569">
      <levels count="2">
        <level uniqueName="[Calender_Table].[Date (Month)].[(All)]" sourceCaption="(All)" count="0"/>
        <level uniqueName="[Calender_Table].[Date (Month)].[Date (Month)]" sourceCaption="Date (Month)" count="12">
          <ranges>
            <range startItem="0">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i n="[Calender_Table].[Date (Month)].&amp;[Jan]" c="Jan"/>
              <i n="[Calender_Table].[Date (Month)].&amp;[Feb]" c="Feb"/>
              <i n="[Calender_Table].[Date (Month)].&amp;[Mar]" c="Mar"/>
            </range>
          </ranges>
        </level>
      </levels>
      <selections count="1">
        <selection n="[Calende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_1" xr10:uid="{085AFBCD-9A15-43DE-8499-3B77EEE514BF}" sourceName="[Calender_Table].[Date (Year)1]">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3"/>
    <pivotTable tabId="1" name="PivotTable14"/>
  </pivotTables>
  <data>
    <olap pivotCacheId="1865753569">
      <levels count="2">
        <level uniqueName="[Calender_Table].[Date (Year)1].[(All)]" sourceCaption="(All)" count="0"/>
        <level uniqueName="[Calender_Table].[Date (Year)1].[Date (Year)1]" sourceCaption="Date (Year)1" count="2">
          <ranges>
            <range startItem="0">
              <i n="[Calender_Table].[Date (Year)1].&amp;[2023]" c="2023"/>
              <i n="[Calender_Table].[Date (Year)1].&amp;[2024]" c="2024"/>
            </range>
          </ranges>
        </level>
      </levels>
      <selections count="1">
        <selection n="[Calender_Table].[Date (Year)1].&amp;[2023]"/>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Gender" xr10:uid="{F8542ABD-300B-42B8-8135-AC48C1C975E7}" sourceName="[Hospital Emergency Room Data].[Patient Gende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4"/>
  </pivotTables>
  <data>
    <olap pivotCacheId="1865753569">
      <levels count="2">
        <level uniqueName="[Hospital Emergency Room Data].[Patient Gender].[(All)]" sourceCaption="(All)" count="0"/>
        <level uniqueName="[Hospital Emergency Room Data].[Patient Gender].[Patient Gender]" sourceCaption="Patient Gender" count="2">
          <ranges>
            <range startItem="0">
              <i n="[Hospital Emergency Room Data].[Patient Gender].&amp;[Female]" c="Female"/>
              <i n="[Hospital Emergency Room Data].[Patient Gender].&amp;[Male]" c="Male"/>
            </range>
          </ranges>
        </level>
      </levels>
      <selections count="1">
        <selection n="[Hospital Emergency Room Data].[Patient 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865A3CC9-0A25-47F0-8A65-7C4016935639}" cache="Slicer_Date__Month" caption="Date (Month)" showCaption="0" level="1" style="My Style" rowHeight="182880"/>
  <slicer name="Date (Year)1" xr10:uid="{3017C3F5-4F4B-49BB-8287-397794B9F449}" cache="Slicer_Date__Year_1" caption="Date (Year)1" columnCount="2" showCaption="0" level="1" style="My Style" rowHeight="241300"/>
  <slicer name="Patient Gender" xr10:uid="{1A82FCEC-B6FB-43A1-8B95-19D4FF99F8DE}" cache="Slicer_Patient_Gender" caption="Patient Gender" columnCount="2" showCaption="0" level="1" style="My Style"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J95"/>
  <sheetViews>
    <sheetView topLeftCell="A9" zoomScale="120" zoomScaleNormal="120" workbookViewId="0">
      <selection activeCell="M3" sqref="M3"/>
    </sheetView>
  </sheetViews>
  <sheetFormatPr defaultRowHeight="15" x14ac:dyDescent="0.25"/>
  <cols>
    <col min="1" max="1" width="13.140625" bestFit="1" customWidth="1"/>
    <col min="2" max="2" width="23.28515625" bestFit="1" customWidth="1"/>
    <col min="3" max="3" width="13.140625" bestFit="1" customWidth="1"/>
    <col min="4" max="4" width="25.5703125" bestFit="1" customWidth="1"/>
    <col min="5" max="5" width="10" customWidth="1"/>
    <col min="6" max="6" width="13.140625" bestFit="1" customWidth="1"/>
    <col min="7" max="7" width="26.85546875" bestFit="1" customWidth="1"/>
    <col min="9" max="9" width="13.140625" bestFit="1" customWidth="1"/>
    <col min="10" max="10" width="31.28515625" bestFit="1" customWidth="1"/>
  </cols>
  <sheetData>
    <row r="3" spans="1:10" x14ac:dyDescent="0.25">
      <c r="A3" t="s">
        <v>1</v>
      </c>
      <c r="C3" t="s">
        <v>6</v>
      </c>
      <c r="F3" t="s">
        <v>7</v>
      </c>
      <c r="I3" t="s">
        <v>11</v>
      </c>
    </row>
    <row r="4" spans="1:10" x14ac:dyDescent="0.25">
      <c r="A4" t="s">
        <v>0</v>
      </c>
      <c r="C4" s="4" t="s">
        <v>4</v>
      </c>
      <c r="D4" t="s">
        <v>0</v>
      </c>
      <c r="F4" s="4" t="s">
        <v>4</v>
      </c>
      <c r="G4" t="s">
        <v>2</v>
      </c>
      <c r="I4" s="4" t="s">
        <v>4</v>
      </c>
      <c r="J4" t="s">
        <v>12</v>
      </c>
    </row>
    <row r="5" spans="1:10" x14ac:dyDescent="0.25">
      <c r="A5" s="1">
        <v>480</v>
      </c>
      <c r="C5" s="5" t="s">
        <v>49</v>
      </c>
      <c r="D5" s="1">
        <v>20</v>
      </c>
      <c r="F5" s="5" t="s">
        <v>49</v>
      </c>
      <c r="G5" s="2">
        <v>31.5</v>
      </c>
      <c r="I5" s="5" t="s">
        <v>49</v>
      </c>
      <c r="J5" s="2">
        <v>11</v>
      </c>
    </row>
    <row r="6" spans="1:10" x14ac:dyDescent="0.25">
      <c r="A6" s="1"/>
      <c r="C6" s="5" t="s">
        <v>50</v>
      </c>
      <c r="D6" s="1">
        <v>16</v>
      </c>
      <c r="F6" s="5" t="s">
        <v>50</v>
      </c>
      <c r="G6" s="2">
        <v>34.25</v>
      </c>
      <c r="I6" s="5" t="s">
        <v>50</v>
      </c>
      <c r="J6" s="2">
        <v>20</v>
      </c>
    </row>
    <row r="7" spans="1:10" x14ac:dyDescent="0.25">
      <c r="C7" s="5" t="s">
        <v>51</v>
      </c>
      <c r="D7" s="1">
        <v>20</v>
      </c>
      <c r="F7" s="5" t="s">
        <v>51</v>
      </c>
      <c r="G7" s="2">
        <v>41.1</v>
      </c>
      <c r="I7" s="5" t="s">
        <v>51</v>
      </c>
      <c r="J7" s="2">
        <v>30</v>
      </c>
    </row>
    <row r="8" spans="1:10" x14ac:dyDescent="0.25">
      <c r="C8" s="5" t="s">
        <v>52</v>
      </c>
      <c r="D8" s="1">
        <v>16</v>
      </c>
      <c r="F8" s="5" t="s">
        <v>52</v>
      </c>
      <c r="G8" s="2">
        <v>31</v>
      </c>
      <c r="I8" s="5" t="s">
        <v>52</v>
      </c>
      <c r="J8" s="2">
        <v>24</v>
      </c>
    </row>
    <row r="9" spans="1:10" x14ac:dyDescent="0.25">
      <c r="A9" t="s">
        <v>2</v>
      </c>
      <c r="C9" s="5" t="s">
        <v>53</v>
      </c>
      <c r="D9" s="1">
        <v>18</v>
      </c>
      <c r="F9" s="5" t="s">
        <v>53</v>
      </c>
      <c r="G9" s="2">
        <v>33.666666666666664</v>
      </c>
      <c r="I9" s="5" t="s">
        <v>53</v>
      </c>
      <c r="J9" s="2">
        <v>22</v>
      </c>
    </row>
    <row r="10" spans="1:10" x14ac:dyDescent="0.25">
      <c r="A10" s="2">
        <v>34.429166666666667</v>
      </c>
      <c r="C10" s="5" t="s">
        <v>54</v>
      </c>
      <c r="D10" s="1">
        <v>16</v>
      </c>
      <c r="F10" s="5" t="s">
        <v>54</v>
      </c>
      <c r="G10" s="2">
        <v>34.5625</v>
      </c>
      <c r="I10" s="5" t="s">
        <v>54</v>
      </c>
      <c r="J10" s="2">
        <v>21</v>
      </c>
    </row>
    <row r="11" spans="1:10" x14ac:dyDescent="0.25">
      <c r="C11" s="5" t="s">
        <v>55</v>
      </c>
      <c r="D11" s="1">
        <v>15</v>
      </c>
      <c r="F11" s="5" t="s">
        <v>55</v>
      </c>
      <c r="G11" s="2">
        <v>34.93333333333333</v>
      </c>
      <c r="I11" s="5" t="s">
        <v>55</v>
      </c>
      <c r="J11" s="2">
        <v>24</v>
      </c>
    </row>
    <row r="12" spans="1:10" x14ac:dyDescent="0.25">
      <c r="A12" t="s">
        <v>3</v>
      </c>
      <c r="C12" s="5" t="s">
        <v>56</v>
      </c>
      <c r="D12" s="1">
        <v>20</v>
      </c>
      <c r="F12" s="5" t="s">
        <v>56</v>
      </c>
      <c r="G12" s="2">
        <v>36.4</v>
      </c>
      <c r="I12" s="5" t="s">
        <v>56</v>
      </c>
      <c r="J12" s="2">
        <v>18</v>
      </c>
    </row>
    <row r="13" spans="1:10" x14ac:dyDescent="0.25">
      <c r="A13" s="2">
        <v>5.1640625</v>
      </c>
      <c r="C13" s="5" t="s">
        <v>57</v>
      </c>
      <c r="D13" s="1">
        <v>20</v>
      </c>
      <c r="F13" s="5" t="s">
        <v>57</v>
      </c>
      <c r="G13" s="2">
        <v>35.549999999999997</v>
      </c>
      <c r="I13" s="5" t="s">
        <v>57</v>
      </c>
      <c r="J13" s="2">
        <v>25</v>
      </c>
    </row>
    <row r="14" spans="1:10" x14ac:dyDescent="0.25">
      <c r="C14" s="5" t="s">
        <v>58</v>
      </c>
      <c r="D14" s="1">
        <v>13</v>
      </c>
      <c r="F14" s="5" t="s">
        <v>58</v>
      </c>
      <c r="G14" s="2">
        <v>30.692307692307693</v>
      </c>
      <c r="I14" s="5" t="s">
        <v>58</v>
      </c>
      <c r="J14" s="2">
        <v>16</v>
      </c>
    </row>
    <row r="15" spans="1:10" x14ac:dyDescent="0.25">
      <c r="C15" s="5" t="s">
        <v>59</v>
      </c>
      <c r="D15" s="1">
        <v>18</v>
      </c>
      <c r="F15" s="5" t="s">
        <v>59</v>
      </c>
      <c r="G15" s="2">
        <v>33.611111111111114</v>
      </c>
      <c r="I15" s="5" t="s">
        <v>59</v>
      </c>
      <c r="J15" s="2">
        <v>22</v>
      </c>
    </row>
    <row r="16" spans="1:10" x14ac:dyDescent="0.25">
      <c r="A16" s="4" t="s">
        <v>4</v>
      </c>
      <c r="B16" t="s">
        <v>0</v>
      </c>
      <c r="C16" s="5" t="s">
        <v>60</v>
      </c>
      <c r="D16" s="1">
        <v>11</v>
      </c>
      <c r="F16" s="5" t="s">
        <v>60</v>
      </c>
      <c r="G16" s="2">
        <v>37.81818181818182</v>
      </c>
      <c r="I16" s="5" t="s">
        <v>60</v>
      </c>
      <c r="J16" s="2">
        <v>13</v>
      </c>
    </row>
    <row r="17" spans="1:10" x14ac:dyDescent="0.25">
      <c r="A17" s="5" t="s">
        <v>33</v>
      </c>
      <c r="B17" s="1">
        <v>261</v>
      </c>
      <c r="C17" s="5" t="s">
        <v>61</v>
      </c>
      <c r="D17" s="1">
        <v>13</v>
      </c>
      <c r="F17" s="5" t="s">
        <v>61</v>
      </c>
      <c r="G17" s="2">
        <v>40</v>
      </c>
      <c r="I17" s="5" t="s">
        <v>61</v>
      </c>
      <c r="J17" s="2">
        <v>18</v>
      </c>
    </row>
    <row r="18" spans="1:10" x14ac:dyDescent="0.25">
      <c r="A18" s="5" t="s">
        <v>34</v>
      </c>
      <c r="B18" s="1">
        <v>219</v>
      </c>
      <c r="C18" s="5" t="s">
        <v>62</v>
      </c>
      <c r="D18" s="1">
        <v>14</v>
      </c>
      <c r="F18" s="5" t="s">
        <v>62</v>
      </c>
      <c r="G18" s="2">
        <v>32</v>
      </c>
      <c r="I18" s="5" t="s">
        <v>62</v>
      </c>
      <c r="J18" s="2">
        <v>10</v>
      </c>
    </row>
    <row r="19" spans="1:10" x14ac:dyDescent="0.25">
      <c r="A19" s="5" t="s">
        <v>5</v>
      </c>
      <c r="B19" s="1">
        <v>480</v>
      </c>
      <c r="C19" s="5" t="s">
        <v>63</v>
      </c>
      <c r="D19" s="1">
        <v>7</v>
      </c>
      <c r="F19" s="5" t="s">
        <v>63</v>
      </c>
      <c r="G19" s="2">
        <v>31.857142857142858</v>
      </c>
      <c r="I19" s="5" t="s">
        <v>64</v>
      </c>
      <c r="J19" s="2">
        <v>67</v>
      </c>
    </row>
    <row r="20" spans="1:10" x14ac:dyDescent="0.25">
      <c r="C20" s="5" t="s">
        <v>64</v>
      </c>
      <c r="D20" s="1">
        <v>21</v>
      </c>
      <c r="F20" s="5" t="s">
        <v>64</v>
      </c>
      <c r="G20" s="2">
        <v>31.142857142857142</v>
      </c>
      <c r="I20" s="5" t="s">
        <v>65</v>
      </c>
      <c r="J20" s="2">
        <v>62</v>
      </c>
    </row>
    <row r="21" spans="1:10" x14ac:dyDescent="0.25">
      <c r="C21" s="5" t="s">
        <v>65</v>
      </c>
      <c r="D21" s="1">
        <v>16</v>
      </c>
      <c r="F21" s="5" t="s">
        <v>65</v>
      </c>
      <c r="G21" s="2">
        <v>29.5</v>
      </c>
      <c r="I21" s="5" t="s">
        <v>66</v>
      </c>
      <c r="J21" s="2">
        <v>11</v>
      </c>
    </row>
    <row r="22" spans="1:10" x14ac:dyDescent="0.25">
      <c r="A22" s="4" t="s">
        <v>4</v>
      </c>
      <c r="B22" t="s">
        <v>35</v>
      </c>
      <c r="C22" s="5" t="s">
        <v>66</v>
      </c>
      <c r="D22" s="1">
        <v>15</v>
      </c>
      <c r="F22" s="5" t="s">
        <v>66</v>
      </c>
      <c r="G22" s="2">
        <v>30.666666666666668</v>
      </c>
      <c r="I22" s="5" t="s">
        <v>67</v>
      </c>
      <c r="J22" s="2">
        <v>9</v>
      </c>
    </row>
    <row r="23" spans="1:10" x14ac:dyDescent="0.25">
      <c r="A23" s="5" t="s">
        <v>33</v>
      </c>
      <c r="B23" s="1">
        <v>261</v>
      </c>
      <c r="C23" s="5" t="s">
        <v>67</v>
      </c>
      <c r="D23" s="1">
        <v>15</v>
      </c>
      <c r="F23" s="5" t="s">
        <v>67</v>
      </c>
      <c r="G23" s="2">
        <v>39.06666666666667</v>
      </c>
      <c r="I23" s="5" t="s">
        <v>68</v>
      </c>
      <c r="J23" s="2">
        <v>30</v>
      </c>
    </row>
    <row r="24" spans="1:10" x14ac:dyDescent="0.25">
      <c r="A24" s="5" t="s">
        <v>34</v>
      </c>
      <c r="B24" s="1">
        <v>219</v>
      </c>
      <c r="C24" s="5" t="s">
        <v>68</v>
      </c>
      <c r="D24" s="1">
        <v>14</v>
      </c>
      <c r="F24" s="5" t="s">
        <v>68</v>
      </c>
      <c r="G24" s="2">
        <v>32.857142857142854</v>
      </c>
      <c r="I24" s="5" t="s">
        <v>69</v>
      </c>
      <c r="J24" s="2">
        <v>23</v>
      </c>
    </row>
    <row r="25" spans="1:10" x14ac:dyDescent="0.25">
      <c r="A25" s="5" t="s">
        <v>5</v>
      </c>
      <c r="B25" s="1">
        <v>480</v>
      </c>
      <c r="C25" s="5" t="s">
        <v>69</v>
      </c>
      <c r="D25" s="1">
        <v>16</v>
      </c>
      <c r="F25" s="5" t="s">
        <v>69</v>
      </c>
      <c r="G25" s="2">
        <v>38.3125</v>
      </c>
      <c r="I25" s="5" t="s">
        <v>70</v>
      </c>
      <c r="J25" s="2">
        <v>22</v>
      </c>
    </row>
    <row r="26" spans="1:10" x14ac:dyDescent="0.25">
      <c r="C26" s="5" t="s">
        <v>70</v>
      </c>
      <c r="D26" s="1">
        <v>21</v>
      </c>
      <c r="F26" s="5" t="s">
        <v>70</v>
      </c>
      <c r="G26" s="2">
        <v>35.80952380952381</v>
      </c>
      <c r="I26" s="5" t="s">
        <v>71</v>
      </c>
      <c r="J26" s="2">
        <v>28</v>
      </c>
    </row>
    <row r="27" spans="1:10" x14ac:dyDescent="0.25">
      <c r="C27" s="5" t="s">
        <v>71</v>
      </c>
      <c r="D27" s="1">
        <v>13</v>
      </c>
      <c r="F27" s="5" t="s">
        <v>71</v>
      </c>
      <c r="G27" s="2">
        <v>33.153846153846153</v>
      </c>
      <c r="I27" s="5" t="s">
        <v>72</v>
      </c>
      <c r="J27" s="2">
        <v>13</v>
      </c>
    </row>
    <row r="28" spans="1:10" x14ac:dyDescent="0.25">
      <c r="C28" s="5" t="s">
        <v>72</v>
      </c>
      <c r="D28" s="1">
        <v>11</v>
      </c>
      <c r="F28" s="5" t="s">
        <v>72</v>
      </c>
      <c r="G28" s="2">
        <v>39.18181818181818</v>
      </c>
      <c r="I28" s="5" t="s">
        <v>73</v>
      </c>
      <c r="J28" s="2">
        <v>12</v>
      </c>
    </row>
    <row r="29" spans="1:10" x14ac:dyDescent="0.25">
      <c r="C29" s="5" t="s">
        <v>73</v>
      </c>
      <c r="D29" s="1">
        <v>16</v>
      </c>
      <c r="F29" s="5" t="s">
        <v>73</v>
      </c>
      <c r="G29" s="2">
        <v>36.3125</v>
      </c>
      <c r="I29" s="5" t="s">
        <v>74</v>
      </c>
      <c r="J29" s="2">
        <v>22</v>
      </c>
    </row>
    <row r="30" spans="1:10" x14ac:dyDescent="0.25">
      <c r="C30" s="5" t="s">
        <v>74</v>
      </c>
      <c r="D30" s="1">
        <v>11</v>
      </c>
      <c r="F30" s="5" t="s">
        <v>74</v>
      </c>
      <c r="G30" s="2">
        <v>33</v>
      </c>
      <c r="I30" s="5" t="s">
        <v>75</v>
      </c>
      <c r="J30" s="2">
        <v>16</v>
      </c>
    </row>
    <row r="31" spans="1:10" x14ac:dyDescent="0.25">
      <c r="C31" s="5" t="s">
        <v>75</v>
      </c>
      <c r="D31" s="1">
        <v>14</v>
      </c>
      <c r="F31" s="5" t="s">
        <v>75</v>
      </c>
      <c r="G31" s="2">
        <v>32.857142857142854</v>
      </c>
      <c r="I31" s="5" t="s">
        <v>76</v>
      </c>
      <c r="J31" s="2">
        <v>19</v>
      </c>
    </row>
    <row r="32" spans="1:10" x14ac:dyDescent="0.25">
      <c r="C32" s="5" t="s">
        <v>76</v>
      </c>
      <c r="D32" s="1">
        <v>10</v>
      </c>
      <c r="F32" s="5" t="s">
        <v>76</v>
      </c>
      <c r="G32" s="2">
        <v>36.799999999999997</v>
      </c>
      <c r="I32" s="5" t="s">
        <v>77</v>
      </c>
      <c r="J32" s="2">
        <v>12</v>
      </c>
    </row>
    <row r="33" spans="1:10" x14ac:dyDescent="0.25">
      <c r="C33" s="5" t="s">
        <v>77</v>
      </c>
      <c r="D33" s="1">
        <v>15</v>
      </c>
      <c r="F33" s="5" t="s">
        <v>77</v>
      </c>
      <c r="G33" s="2">
        <v>32.866666666666667</v>
      </c>
      <c r="I33" s="5" t="s">
        <v>78</v>
      </c>
      <c r="J33" s="2">
        <v>16</v>
      </c>
    </row>
    <row r="34" spans="1:10" x14ac:dyDescent="0.25">
      <c r="C34" s="5" t="s">
        <v>78</v>
      </c>
      <c r="D34" s="1">
        <v>24</v>
      </c>
      <c r="F34" s="5" t="s">
        <v>78</v>
      </c>
      <c r="G34" s="2">
        <v>32.375</v>
      </c>
      <c r="I34" s="5" t="s">
        <v>79</v>
      </c>
      <c r="J34" s="2">
        <v>25</v>
      </c>
    </row>
    <row r="35" spans="1:10" x14ac:dyDescent="0.25">
      <c r="C35" s="5" t="s">
        <v>79</v>
      </c>
      <c r="D35" s="1">
        <v>11</v>
      </c>
      <c r="F35" s="5" t="s">
        <v>79</v>
      </c>
      <c r="G35" s="2">
        <v>36</v>
      </c>
      <c r="I35" s="5" t="s">
        <v>5</v>
      </c>
      <c r="J35" s="2">
        <v>661</v>
      </c>
    </row>
    <row r="36" spans="1:10" x14ac:dyDescent="0.25">
      <c r="C36" s="5" t="s">
        <v>5</v>
      </c>
      <c r="D36" s="1">
        <v>480</v>
      </c>
      <c r="F36" s="5" t="s">
        <v>5</v>
      </c>
      <c r="G36" s="2">
        <v>34.429166666666667</v>
      </c>
    </row>
    <row r="43" spans="1:10" x14ac:dyDescent="0.25">
      <c r="A43" s="4" t="s">
        <v>4</v>
      </c>
      <c r="B43" t="s">
        <v>13</v>
      </c>
      <c r="C43" t="s">
        <v>16</v>
      </c>
    </row>
    <row r="44" spans="1:10" x14ac:dyDescent="0.25">
      <c r="A44" s="5" t="s">
        <v>14</v>
      </c>
      <c r="B44" s="2">
        <v>229</v>
      </c>
      <c r="C44" s="13">
        <v>0.47708333333333336</v>
      </c>
    </row>
    <row r="45" spans="1:10" x14ac:dyDescent="0.25">
      <c r="A45" s="5" t="s">
        <v>15</v>
      </c>
      <c r="B45" s="2">
        <v>251</v>
      </c>
      <c r="C45" s="13">
        <v>0.5229166666666667</v>
      </c>
    </row>
    <row r="46" spans="1:10" x14ac:dyDescent="0.25">
      <c r="A46" s="5" t="s">
        <v>5</v>
      </c>
      <c r="B46" s="2">
        <v>480</v>
      </c>
      <c r="C46" s="13">
        <v>1</v>
      </c>
    </row>
    <row r="49" spans="1:6" x14ac:dyDescent="0.25">
      <c r="F49" s="14"/>
    </row>
    <row r="50" spans="1:6" x14ac:dyDescent="0.25">
      <c r="A50" s="17" t="s">
        <v>17</v>
      </c>
      <c r="B50" s="17" t="s">
        <v>19</v>
      </c>
      <c r="C50" s="17" t="s">
        <v>18</v>
      </c>
      <c r="D50" s="16"/>
    </row>
    <row r="51" spans="1:6" ht="14.25" customHeight="1" x14ac:dyDescent="0.25">
      <c r="A51" s="18" t="str">
        <f>A45</f>
        <v>Not Admitted</v>
      </c>
      <c r="B51" s="18">
        <f>B45</f>
        <v>251</v>
      </c>
      <c r="C51" s="19">
        <f>C45</f>
        <v>0.5229166666666667</v>
      </c>
      <c r="D51" s="15"/>
    </row>
    <row r="52" spans="1:6" x14ac:dyDescent="0.25">
      <c r="A52" s="18" t="str">
        <f>A44</f>
        <v>Admitted</v>
      </c>
      <c r="B52" s="18">
        <f>B44</f>
        <v>229</v>
      </c>
      <c r="C52" s="19">
        <f>C44</f>
        <v>0.47708333333333336</v>
      </c>
      <c r="D52" s="15"/>
    </row>
    <row r="54" spans="1:6" x14ac:dyDescent="0.25">
      <c r="A54" t="s">
        <v>28</v>
      </c>
    </row>
    <row r="55" spans="1:6" x14ac:dyDescent="0.25">
      <c r="A55" s="4" t="s">
        <v>4</v>
      </c>
      <c r="B55" t="s">
        <v>27</v>
      </c>
    </row>
    <row r="56" spans="1:6" x14ac:dyDescent="0.25">
      <c r="A56" s="5" t="s">
        <v>20</v>
      </c>
      <c r="B56" s="20">
        <v>112</v>
      </c>
    </row>
    <row r="57" spans="1:6" x14ac:dyDescent="0.25">
      <c r="A57" s="5" t="s">
        <v>21</v>
      </c>
      <c r="B57" s="20">
        <v>57</v>
      </c>
    </row>
    <row r="58" spans="1:6" x14ac:dyDescent="0.25">
      <c r="A58" s="5" t="s">
        <v>22</v>
      </c>
      <c r="B58" s="20">
        <v>73</v>
      </c>
    </row>
    <row r="59" spans="1:6" x14ac:dyDescent="0.25">
      <c r="A59" s="5" t="s">
        <v>23</v>
      </c>
      <c r="B59" s="20">
        <v>63</v>
      </c>
    </row>
    <row r="60" spans="1:6" x14ac:dyDescent="0.25">
      <c r="A60" s="5" t="s">
        <v>24</v>
      </c>
      <c r="B60" s="20">
        <v>60</v>
      </c>
    </row>
    <row r="61" spans="1:6" x14ac:dyDescent="0.25">
      <c r="A61" s="5" t="s">
        <v>25</v>
      </c>
      <c r="B61" s="20">
        <v>57</v>
      </c>
    </row>
    <row r="62" spans="1:6" x14ac:dyDescent="0.25">
      <c r="A62" s="5" t="s">
        <v>26</v>
      </c>
      <c r="B62" s="20">
        <v>58</v>
      </c>
    </row>
    <row r="63" spans="1:6" x14ac:dyDescent="0.25">
      <c r="A63" s="5" t="s">
        <v>5</v>
      </c>
      <c r="B63" s="2">
        <v>480</v>
      </c>
    </row>
    <row r="66" spans="1:2" x14ac:dyDescent="0.25">
      <c r="A66" s="5" t="s">
        <v>32</v>
      </c>
    </row>
    <row r="67" spans="1:2" x14ac:dyDescent="0.25">
      <c r="A67" s="4" t="s">
        <v>4</v>
      </c>
      <c r="B67" t="s">
        <v>31</v>
      </c>
    </row>
    <row r="68" spans="1:2" x14ac:dyDescent="0.25">
      <c r="A68" s="5" t="s">
        <v>29</v>
      </c>
      <c r="B68" s="2">
        <v>267</v>
      </c>
    </row>
    <row r="69" spans="1:2" x14ac:dyDescent="0.25">
      <c r="A69" s="5" t="s">
        <v>30</v>
      </c>
      <c r="B69" s="2">
        <v>213</v>
      </c>
    </row>
    <row r="70" spans="1:2" x14ac:dyDescent="0.25">
      <c r="A70" s="5" t="s">
        <v>5</v>
      </c>
      <c r="B70" s="2">
        <v>480</v>
      </c>
    </row>
    <row r="73" spans="1:2" x14ac:dyDescent="0.25">
      <c r="A73" s="5" t="s">
        <v>36</v>
      </c>
    </row>
    <row r="74" spans="1:2" x14ac:dyDescent="0.25">
      <c r="A74" s="4" t="s">
        <v>4</v>
      </c>
      <c r="B74" t="s">
        <v>35</v>
      </c>
    </row>
    <row r="75" spans="1:2" x14ac:dyDescent="0.25">
      <c r="A75" s="5" t="s">
        <v>33</v>
      </c>
      <c r="B75" s="2">
        <v>261</v>
      </c>
    </row>
    <row r="76" spans="1:2" x14ac:dyDescent="0.25">
      <c r="A76" s="5" t="s">
        <v>34</v>
      </c>
      <c r="B76" s="2">
        <v>219</v>
      </c>
    </row>
    <row r="77" spans="1:2" x14ac:dyDescent="0.25">
      <c r="A77" s="5" t="s">
        <v>5</v>
      </c>
      <c r="B77" s="2">
        <v>480</v>
      </c>
    </row>
    <row r="80" spans="1:2" x14ac:dyDescent="0.25">
      <c r="A80" s="5" t="s">
        <v>48</v>
      </c>
    </row>
    <row r="81" spans="1:2" x14ac:dyDescent="0.25">
      <c r="A81" s="4" t="s">
        <v>4</v>
      </c>
      <c r="B81" t="s">
        <v>45</v>
      </c>
    </row>
    <row r="82" spans="1:2" x14ac:dyDescent="0.25">
      <c r="A82" s="5" t="s">
        <v>44</v>
      </c>
      <c r="B82" s="20">
        <v>6</v>
      </c>
    </row>
    <row r="83" spans="1:2" x14ac:dyDescent="0.25">
      <c r="A83" s="5" t="s">
        <v>40</v>
      </c>
      <c r="B83" s="20">
        <v>11</v>
      </c>
    </row>
    <row r="84" spans="1:2" x14ac:dyDescent="0.25">
      <c r="A84" s="5" t="s">
        <v>37</v>
      </c>
      <c r="B84" s="20">
        <v>12</v>
      </c>
    </row>
    <row r="85" spans="1:2" x14ac:dyDescent="0.25">
      <c r="A85" s="5" t="s">
        <v>38</v>
      </c>
      <c r="B85" s="20">
        <v>12</v>
      </c>
    </row>
    <row r="86" spans="1:2" x14ac:dyDescent="0.25">
      <c r="A86" s="5" t="s">
        <v>43</v>
      </c>
      <c r="B86" s="20">
        <v>20</v>
      </c>
    </row>
    <row r="87" spans="1:2" x14ac:dyDescent="0.25">
      <c r="A87" s="5" t="s">
        <v>42</v>
      </c>
      <c r="B87" s="20">
        <v>35</v>
      </c>
    </row>
    <row r="88" spans="1:2" x14ac:dyDescent="0.25">
      <c r="A88" s="5" t="s">
        <v>39</v>
      </c>
      <c r="B88" s="20">
        <v>93</v>
      </c>
    </row>
    <row r="89" spans="1:2" x14ac:dyDescent="0.25">
      <c r="A89" s="5" t="s">
        <v>41</v>
      </c>
      <c r="B89" s="20">
        <v>291</v>
      </c>
    </row>
    <row r="90" spans="1:2" x14ac:dyDescent="0.25">
      <c r="A90" s="5" t="s">
        <v>5</v>
      </c>
      <c r="B90" s="2">
        <v>480</v>
      </c>
    </row>
    <row r="92" spans="1:2" x14ac:dyDescent="0.25">
      <c r="A92" s="5" t="s">
        <v>47</v>
      </c>
    </row>
    <row r="93" spans="1:2" x14ac:dyDescent="0.25">
      <c r="A93" s="4" t="s">
        <v>4</v>
      </c>
    </row>
    <row r="94" spans="1:2" x14ac:dyDescent="0.25">
      <c r="A94" s="5" t="s">
        <v>46</v>
      </c>
    </row>
    <row r="95" spans="1:2" x14ac:dyDescent="0.25">
      <c r="A95" s="5" t="s">
        <v>5</v>
      </c>
    </row>
  </sheetData>
  <pageMargins left="0.7" right="0.7" top="0.75" bottom="0.75" header="0.3" footer="0.3"/>
  <drawing r:id="rId1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8DC94-EB35-4716-B50E-AD44EE2ECC11}">
  <dimension ref="A1:M19"/>
  <sheetViews>
    <sheetView tabSelected="1" zoomScale="133" workbookViewId="0">
      <selection activeCell="M5" sqref="M5"/>
    </sheetView>
  </sheetViews>
  <sheetFormatPr defaultRowHeight="15" x14ac:dyDescent="0.25"/>
  <sheetData>
    <row r="1" spans="1:13" x14ac:dyDescent="0.25">
      <c r="A1" s="3"/>
      <c r="B1" s="3"/>
      <c r="C1" s="3"/>
      <c r="D1" s="3"/>
      <c r="E1" s="3"/>
      <c r="F1" s="3"/>
      <c r="G1" s="3"/>
      <c r="H1" s="3"/>
      <c r="I1" s="3"/>
      <c r="J1" s="3"/>
      <c r="K1" s="3"/>
      <c r="L1" s="3"/>
      <c r="M1" s="3"/>
    </row>
    <row r="2" spans="1:13" x14ac:dyDescent="0.25">
      <c r="A2" s="3"/>
      <c r="B2" s="3"/>
      <c r="C2" s="3"/>
      <c r="D2" s="3"/>
      <c r="E2" s="3"/>
      <c r="F2" s="3"/>
      <c r="G2" s="3"/>
      <c r="H2" s="3"/>
      <c r="I2" s="3"/>
      <c r="J2" s="3"/>
      <c r="K2" s="3"/>
      <c r="L2" s="3"/>
      <c r="M2" s="3"/>
    </row>
    <row r="3" spans="1:13" x14ac:dyDescent="0.25">
      <c r="A3" s="3"/>
      <c r="B3" s="3"/>
      <c r="C3" s="3"/>
      <c r="D3" s="3"/>
      <c r="E3" s="3"/>
      <c r="F3" s="3"/>
      <c r="G3" s="3"/>
      <c r="H3" s="3"/>
      <c r="I3" s="3"/>
      <c r="J3" s="3"/>
      <c r="K3" s="3"/>
      <c r="L3" s="3"/>
      <c r="M3" s="3"/>
    </row>
    <row r="4" spans="1:13" x14ac:dyDescent="0.25">
      <c r="A4" s="3"/>
      <c r="B4" s="3"/>
      <c r="C4" s="3"/>
      <c r="D4" s="3"/>
      <c r="E4" s="3"/>
      <c r="F4" s="3"/>
      <c r="G4" s="3"/>
      <c r="H4" s="3"/>
      <c r="I4" s="3"/>
      <c r="J4" s="3"/>
      <c r="K4" s="3"/>
      <c r="L4" s="3"/>
      <c r="M4" s="3"/>
    </row>
    <row r="5" spans="1:13" x14ac:dyDescent="0.25">
      <c r="A5" s="3">
        <f>'Pivot Report'!A5</f>
        <v>480</v>
      </c>
      <c r="B5" s="3"/>
      <c r="C5" s="3"/>
      <c r="D5" s="3"/>
      <c r="E5" s="3"/>
      <c r="F5" s="3"/>
      <c r="G5" s="3"/>
      <c r="H5" s="3"/>
      <c r="I5" s="3"/>
      <c r="J5" s="3"/>
      <c r="K5" s="3"/>
      <c r="L5" s="3"/>
      <c r="M5" s="3"/>
    </row>
    <row r="6" spans="1:13" x14ac:dyDescent="0.25">
      <c r="A6" s="3"/>
      <c r="B6" s="3"/>
      <c r="C6" s="3"/>
      <c r="D6" s="3"/>
      <c r="E6" s="3"/>
      <c r="F6" s="3"/>
      <c r="G6" s="3"/>
      <c r="H6" s="3"/>
      <c r="I6" s="3"/>
      <c r="J6" s="3"/>
      <c r="K6" s="3"/>
      <c r="L6" s="3"/>
      <c r="M6" s="3"/>
    </row>
    <row r="7" spans="1:13" x14ac:dyDescent="0.25">
      <c r="A7" s="3"/>
      <c r="B7" s="3"/>
      <c r="C7" s="3"/>
      <c r="D7" s="3"/>
      <c r="E7" s="3"/>
      <c r="F7" s="3"/>
      <c r="G7" s="3"/>
      <c r="H7" s="3"/>
      <c r="I7" s="3"/>
      <c r="J7" s="3"/>
      <c r="K7" s="3"/>
      <c r="L7" s="3"/>
      <c r="M7" s="3"/>
    </row>
    <row r="8" spans="1:13" x14ac:dyDescent="0.25">
      <c r="A8" s="3"/>
      <c r="B8" s="3"/>
      <c r="C8" s="3"/>
      <c r="D8" s="3"/>
      <c r="E8" s="3"/>
      <c r="F8" s="3"/>
      <c r="G8" s="3"/>
      <c r="H8" s="3"/>
      <c r="I8" s="3"/>
      <c r="J8" s="3"/>
      <c r="K8" s="3"/>
      <c r="L8" s="3"/>
      <c r="M8" s="3"/>
    </row>
    <row r="9" spans="1:13" x14ac:dyDescent="0.25">
      <c r="A9" s="3"/>
      <c r="B9" s="3"/>
      <c r="C9" s="3"/>
      <c r="D9" s="3"/>
      <c r="E9" s="3"/>
      <c r="F9" s="3"/>
      <c r="G9" s="3"/>
      <c r="H9" s="3"/>
      <c r="I9" s="3"/>
      <c r="J9" s="3"/>
      <c r="K9" s="3"/>
      <c r="L9" s="3"/>
      <c r="M9" s="3"/>
    </row>
    <row r="10" spans="1:13" x14ac:dyDescent="0.25">
      <c r="A10" s="3"/>
      <c r="B10" s="3"/>
      <c r="C10" s="3"/>
      <c r="D10" s="3"/>
      <c r="E10" s="3"/>
      <c r="F10" s="3"/>
      <c r="G10" s="3"/>
      <c r="H10" s="3"/>
      <c r="I10" s="3"/>
      <c r="J10" s="3"/>
      <c r="K10" s="3"/>
      <c r="L10" s="3"/>
      <c r="M10" s="3"/>
    </row>
    <row r="11" spans="1:13" x14ac:dyDescent="0.25">
      <c r="A11" s="3"/>
      <c r="B11" s="3"/>
      <c r="C11" s="3"/>
      <c r="D11" s="3"/>
      <c r="E11" s="3"/>
      <c r="F11" s="3"/>
      <c r="G11" s="3"/>
      <c r="H11" s="3"/>
      <c r="I11" s="3"/>
      <c r="J11" s="3"/>
      <c r="K11" s="3"/>
      <c r="L11" s="3"/>
      <c r="M11" s="3"/>
    </row>
    <row r="12" spans="1:13" x14ac:dyDescent="0.25">
      <c r="A12" s="3"/>
      <c r="B12" s="3"/>
      <c r="C12" s="3"/>
      <c r="D12" s="3"/>
      <c r="E12" s="3"/>
      <c r="F12" s="3"/>
      <c r="G12" s="3"/>
      <c r="H12" s="3"/>
      <c r="I12" s="3"/>
      <c r="J12" s="3"/>
      <c r="K12" s="3"/>
      <c r="L12" s="3"/>
      <c r="M12" s="3"/>
    </row>
    <row r="13" spans="1:13" x14ac:dyDescent="0.25">
      <c r="A13" s="3"/>
      <c r="B13" s="3"/>
      <c r="C13" s="3"/>
      <c r="D13" s="3"/>
      <c r="E13" s="3"/>
      <c r="F13" s="3"/>
      <c r="G13" s="3"/>
      <c r="H13" s="3"/>
      <c r="I13" s="3"/>
      <c r="J13" s="3"/>
      <c r="K13" s="3"/>
      <c r="L13" s="3"/>
      <c r="M13" s="3"/>
    </row>
    <row r="14" spans="1:13" x14ac:dyDescent="0.25">
      <c r="A14" s="3"/>
      <c r="B14" s="3"/>
      <c r="C14" s="3"/>
      <c r="D14" s="3"/>
      <c r="E14" s="3"/>
      <c r="F14" s="3"/>
      <c r="G14" s="3"/>
      <c r="H14" s="3"/>
      <c r="I14" s="3"/>
      <c r="J14" s="3"/>
      <c r="K14" s="3"/>
      <c r="L14" s="3"/>
      <c r="M14" s="3"/>
    </row>
    <row r="15" spans="1:13" x14ac:dyDescent="0.25">
      <c r="A15" s="3"/>
      <c r="B15" s="3"/>
      <c r="C15" s="3"/>
      <c r="D15" s="3"/>
      <c r="E15" s="3"/>
      <c r="F15" s="3"/>
      <c r="G15" s="3"/>
      <c r="H15" s="3"/>
      <c r="I15" s="3"/>
      <c r="J15" s="3"/>
      <c r="K15" s="3"/>
      <c r="L15" s="3"/>
      <c r="M15" s="3"/>
    </row>
    <row r="16" spans="1:13" x14ac:dyDescent="0.25">
      <c r="A16" s="3"/>
      <c r="B16" s="3"/>
      <c r="C16" s="3"/>
      <c r="D16" s="3"/>
      <c r="E16" s="3"/>
      <c r="F16" s="3"/>
      <c r="G16" s="3"/>
      <c r="H16" s="3"/>
      <c r="I16" s="3"/>
      <c r="J16" s="3"/>
      <c r="K16" s="3"/>
      <c r="L16" s="3"/>
      <c r="M16" s="3"/>
    </row>
    <row r="17" spans="1:13" x14ac:dyDescent="0.25">
      <c r="A17" s="3"/>
      <c r="B17" s="3"/>
      <c r="C17" s="3"/>
      <c r="D17" s="3"/>
      <c r="E17" s="3"/>
      <c r="F17" s="3"/>
      <c r="G17" s="3"/>
      <c r="H17" s="3"/>
      <c r="I17" s="3"/>
      <c r="J17" s="3"/>
      <c r="K17" s="3"/>
      <c r="L17" s="3"/>
      <c r="M17" s="3"/>
    </row>
    <row r="18" spans="1:13" x14ac:dyDescent="0.25">
      <c r="A18" s="3"/>
      <c r="B18" s="3"/>
      <c r="C18" s="3"/>
      <c r="D18" s="3"/>
      <c r="E18" s="3"/>
      <c r="F18" s="3"/>
      <c r="G18" s="3"/>
      <c r="H18" s="3"/>
      <c r="I18" s="3"/>
      <c r="J18" s="3"/>
      <c r="K18" s="3"/>
      <c r="L18" s="3"/>
      <c r="M18" s="3"/>
    </row>
    <row r="19" spans="1:13" x14ac:dyDescent="0.25">
      <c r="A19" s="3"/>
      <c r="B19" s="3"/>
      <c r="C19" s="3"/>
      <c r="D19" s="3"/>
      <c r="E19" s="3"/>
      <c r="F19" s="3"/>
      <c r="G19" s="3"/>
      <c r="H19" s="3"/>
      <c r="I19" s="3"/>
      <c r="J19" s="3"/>
      <c r="K19" s="3"/>
      <c r="L19" s="3"/>
      <c r="M19" s="3"/>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4067B-494C-4EAA-954F-6A882B7A74EA}">
  <dimension ref="A1:N22"/>
  <sheetViews>
    <sheetView zoomScale="110" zoomScaleNormal="110" workbookViewId="0"/>
  </sheetViews>
  <sheetFormatPr defaultRowHeight="15" x14ac:dyDescent="0.25"/>
  <sheetData>
    <row r="1" spans="1:14" x14ac:dyDescent="0.25">
      <c r="A1" s="6"/>
      <c r="B1" s="6"/>
      <c r="C1" s="6"/>
      <c r="D1" s="6"/>
      <c r="E1" s="6"/>
      <c r="F1" s="6"/>
      <c r="G1" s="6"/>
      <c r="H1" s="6"/>
      <c r="I1" s="6"/>
      <c r="J1" s="6"/>
      <c r="K1" s="6"/>
      <c r="L1" s="6"/>
      <c r="M1" s="6"/>
      <c r="N1" s="6"/>
    </row>
    <row r="2" spans="1:14" x14ac:dyDescent="0.25">
      <c r="A2" s="6"/>
      <c r="B2" s="6"/>
      <c r="C2" s="6"/>
      <c r="D2" s="6"/>
      <c r="E2" s="6"/>
      <c r="F2" s="6"/>
      <c r="G2" s="6"/>
      <c r="H2" s="6"/>
      <c r="I2" s="6"/>
      <c r="J2" s="6"/>
      <c r="K2" s="6"/>
      <c r="L2" s="6"/>
      <c r="M2" s="6"/>
      <c r="N2" s="6"/>
    </row>
    <row r="3" spans="1:14" x14ac:dyDescent="0.25">
      <c r="A3" s="6"/>
      <c r="B3" s="6"/>
      <c r="C3" s="6"/>
      <c r="D3" s="6"/>
      <c r="E3" s="6"/>
      <c r="F3" s="6"/>
      <c r="G3" s="6"/>
      <c r="H3" s="6"/>
      <c r="I3" s="6"/>
      <c r="J3" s="6"/>
      <c r="K3" s="6"/>
      <c r="L3" s="6"/>
      <c r="M3" s="6"/>
      <c r="N3" s="6"/>
    </row>
    <row r="4" spans="1:14" x14ac:dyDescent="0.25">
      <c r="A4" s="6"/>
      <c r="B4" s="6"/>
      <c r="C4" s="6"/>
      <c r="D4" s="6"/>
      <c r="E4" s="6"/>
      <c r="F4" s="6"/>
      <c r="G4" s="6"/>
      <c r="H4" s="6"/>
      <c r="I4" s="6"/>
      <c r="J4" s="6"/>
      <c r="K4" s="6"/>
      <c r="L4" s="6"/>
      <c r="M4" s="6"/>
      <c r="N4" s="6"/>
    </row>
    <row r="5" spans="1:14" x14ac:dyDescent="0.25">
      <c r="A5" s="6"/>
      <c r="B5" s="6"/>
      <c r="C5" s="6"/>
      <c r="D5" s="6"/>
      <c r="E5" s="6"/>
      <c r="F5" s="6"/>
      <c r="G5" s="6"/>
      <c r="H5" s="6"/>
      <c r="I5" s="6"/>
      <c r="J5" s="6"/>
      <c r="K5" s="6"/>
      <c r="L5" s="6"/>
      <c r="M5" s="6"/>
      <c r="N5" s="6"/>
    </row>
    <row r="6" spans="1:14" x14ac:dyDescent="0.25">
      <c r="A6" s="6"/>
      <c r="B6" s="6"/>
      <c r="C6" s="6"/>
      <c r="D6" s="6"/>
      <c r="E6" s="6"/>
      <c r="F6" s="6"/>
      <c r="G6" s="6"/>
      <c r="H6" s="6"/>
      <c r="I6" s="6"/>
      <c r="J6" s="6"/>
      <c r="K6" s="6"/>
      <c r="L6" s="6"/>
      <c r="M6" s="6"/>
      <c r="N6" s="6"/>
    </row>
    <row r="7" spans="1:14" x14ac:dyDescent="0.25">
      <c r="A7" s="6"/>
      <c r="B7" s="6"/>
      <c r="C7" s="6"/>
      <c r="D7" s="6"/>
      <c r="E7" s="6"/>
      <c r="F7" s="6"/>
      <c r="G7" s="6"/>
      <c r="H7" s="6"/>
      <c r="I7" s="6"/>
      <c r="J7" s="6"/>
      <c r="K7" s="6"/>
      <c r="L7" s="6"/>
      <c r="M7" s="6"/>
      <c r="N7" s="6"/>
    </row>
    <row r="8" spans="1:14" x14ac:dyDescent="0.25">
      <c r="A8" s="6"/>
      <c r="B8" s="6"/>
      <c r="C8" s="6"/>
      <c r="D8" s="6"/>
      <c r="E8" s="6"/>
      <c r="F8" s="6"/>
      <c r="G8" s="6"/>
      <c r="H8" s="6"/>
      <c r="I8" s="6"/>
      <c r="J8" s="6"/>
      <c r="K8" s="6"/>
      <c r="L8" s="6"/>
      <c r="M8" s="6"/>
      <c r="N8" s="6"/>
    </row>
    <row r="9" spans="1:14" x14ac:dyDescent="0.25">
      <c r="A9" s="6"/>
      <c r="B9" s="6"/>
      <c r="C9" s="6"/>
      <c r="D9" s="6"/>
      <c r="E9" s="6"/>
      <c r="F9" s="6"/>
      <c r="G9" s="6"/>
      <c r="H9" s="6"/>
      <c r="I9" s="6"/>
      <c r="J9" s="6"/>
      <c r="K9" s="6"/>
      <c r="L9" s="6"/>
      <c r="M9" s="6"/>
      <c r="N9" s="6"/>
    </row>
    <row r="10" spans="1:14" x14ac:dyDescent="0.25">
      <c r="A10" s="6"/>
      <c r="B10" s="6"/>
      <c r="C10" s="6"/>
      <c r="D10" s="6"/>
      <c r="E10" s="6"/>
      <c r="F10" s="6"/>
      <c r="G10" s="6"/>
      <c r="H10" s="6"/>
      <c r="I10" s="6"/>
      <c r="J10" s="6"/>
      <c r="K10" s="6"/>
      <c r="L10" s="6"/>
      <c r="M10" s="6"/>
      <c r="N10" s="6"/>
    </row>
    <row r="11" spans="1:14" x14ac:dyDescent="0.25">
      <c r="A11" s="6"/>
      <c r="B11" s="6"/>
      <c r="C11" s="6"/>
      <c r="D11" s="6"/>
      <c r="E11" s="6"/>
      <c r="F11" s="6"/>
      <c r="G11" s="6"/>
      <c r="H11" s="6"/>
      <c r="I11" s="6"/>
      <c r="J11" s="6"/>
      <c r="K11" s="6"/>
      <c r="L11" s="6"/>
      <c r="M11" s="6"/>
      <c r="N11" s="6"/>
    </row>
    <row r="12" spans="1:14" x14ac:dyDescent="0.25">
      <c r="A12" s="6"/>
      <c r="B12" s="6"/>
      <c r="C12" s="6"/>
      <c r="D12" s="6"/>
      <c r="E12" s="6"/>
      <c r="F12" s="6"/>
      <c r="G12" s="6"/>
      <c r="H12" s="6"/>
      <c r="I12" s="6"/>
      <c r="J12" s="6"/>
      <c r="K12" s="6"/>
      <c r="L12" s="6"/>
      <c r="M12" s="6"/>
      <c r="N12" s="6"/>
    </row>
    <row r="13" spans="1:14" x14ac:dyDescent="0.25">
      <c r="A13" s="6"/>
      <c r="B13" s="6"/>
      <c r="C13" s="6"/>
      <c r="D13" s="6"/>
      <c r="E13" s="6"/>
      <c r="F13" s="6"/>
      <c r="G13" s="6"/>
      <c r="H13" s="6"/>
      <c r="I13" s="6"/>
      <c r="J13" s="6"/>
      <c r="K13" s="6"/>
      <c r="L13" s="6"/>
      <c r="M13" s="6"/>
      <c r="N13" s="6"/>
    </row>
    <row r="14" spans="1:14" x14ac:dyDescent="0.25">
      <c r="A14" s="6"/>
      <c r="B14" s="6"/>
      <c r="C14" s="6"/>
      <c r="D14" s="6"/>
      <c r="E14" s="6"/>
      <c r="F14" s="6"/>
      <c r="G14" s="6"/>
      <c r="H14" s="6"/>
      <c r="I14" s="6"/>
      <c r="J14" s="6"/>
      <c r="K14" s="6"/>
      <c r="L14" s="6"/>
      <c r="M14" s="6"/>
      <c r="N14" s="6"/>
    </row>
    <row r="15" spans="1:14" x14ac:dyDescent="0.25">
      <c r="A15" s="6"/>
      <c r="B15" s="6"/>
      <c r="C15" s="6"/>
      <c r="D15" s="6"/>
      <c r="E15" s="6"/>
      <c r="F15" s="6"/>
      <c r="G15" s="6"/>
      <c r="H15" s="6"/>
      <c r="I15" s="6"/>
      <c r="J15" s="6"/>
      <c r="K15" s="6"/>
      <c r="L15" s="6"/>
      <c r="M15" s="6"/>
      <c r="N15" s="6"/>
    </row>
    <row r="16" spans="1:14" x14ac:dyDescent="0.25">
      <c r="A16" s="6"/>
      <c r="B16" s="6"/>
      <c r="C16" s="6"/>
      <c r="D16" s="6"/>
      <c r="E16" s="6"/>
      <c r="F16" s="6"/>
      <c r="G16" s="6"/>
      <c r="H16" s="6"/>
      <c r="I16" s="6"/>
      <c r="J16" s="6"/>
      <c r="K16" s="6"/>
      <c r="L16" s="6"/>
      <c r="M16" s="6"/>
      <c r="N16" s="6"/>
    </row>
    <row r="17" spans="1:14" x14ac:dyDescent="0.25">
      <c r="A17" s="6"/>
      <c r="B17" s="6"/>
      <c r="C17" s="6"/>
      <c r="D17" s="6"/>
      <c r="E17" s="6"/>
      <c r="F17" s="6"/>
      <c r="G17" s="6"/>
      <c r="H17" s="6"/>
      <c r="I17" s="6"/>
      <c r="J17" s="6"/>
      <c r="K17" s="6"/>
      <c r="L17" s="6"/>
      <c r="M17" s="6"/>
      <c r="N17" s="6"/>
    </row>
    <row r="18" spans="1:14" x14ac:dyDescent="0.25">
      <c r="A18" s="6"/>
      <c r="B18" s="6"/>
      <c r="C18" s="6"/>
      <c r="D18" s="6"/>
      <c r="E18" s="6"/>
      <c r="F18" s="6"/>
      <c r="G18" s="6"/>
      <c r="H18" s="6"/>
      <c r="I18" s="6"/>
      <c r="J18" s="6"/>
      <c r="K18" s="6"/>
      <c r="L18" s="6"/>
      <c r="M18" s="6"/>
      <c r="N18" s="6"/>
    </row>
    <row r="19" spans="1:14" x14ac:dyDescent="0.25">
      <c r="A19" s="10"/>
      <c r="B19" s="10"/>
      <c r="C19" s="11" t="s">
        <v>9</v>
      </c>
      <c r="D19" s="10"/>
      <c r="E19" s="10"/>
      <c r="F19" s="10"/>
      <c r="G19" s="10"/>
      <c r="H19" s="10"/>
      <c r="I19" s="10"/>
      <c r="J19" s="10"/>
      <c r="K19" s="10"/>
      <c r="L19" s="10"/>
      <c r="M19" s="10"/>
      <c r="N19" s="10"/>
    </row>
    <row r="20" spans="1:14" x14ac:dyDescent="0.25">
      <c r="A20" s="10"/>
      <c r="B20" s="10"/>
      <c r="C20" s="10"/>
      <c r="D20" s="10"/>
      <c r="E20" s="10"/>
      <c r="F20" s="10"/>
      <c r="G20" s="10"/>
      <c r="H20" s="10"/>
      <c r="I20" s="10"/>
      <c r="J20" s="10"/>
      <c r="K20" s="10"/>
      <c r="L20" s="10"/>
      <c r="M20" s="10"/>
      <c r="N20" s="10"/>
    </row>
    <row r="21" spans="1:14" x14ac:dyDescent="0.25">
      <c r="A21" s="10"/>
      <c r="B21" s="10"/>
      <c r="C21" s="10"/>
      <c r="D21" s="10"/>
      <c r="E21" s="10"/>
      <c r="F21" s="10"/>
      <c r="G21" s="10"/>
      <c r="H21" s="10"/>
      <c r="I21" s="10"/>
      <c r="J21" s="10"/>
      <c r="K21" s="10"/>
      <c r="L21" s="10"/>
      <c r="M21" s="10"/>
      <c r="N21" s="10"/>
    </row>
    <row r="22" spans="1:14" x14ac:dyDescent="0.25">
      <c r="A22" s="10"/>
      <c r="B22" s="10"/>
      <c r="C22" s="10"/>
      <c r="D22" s="10"/>
      <c r="E22" s="10"/>
      <c r="F22" s="10"/>
      <c r="G22" s="10"/>
      <c r="H22" s="10"/>
      <c r="I22" s="10"/>
      <c r="J22" s="10"/>
      <c r="K22" s="10"/>
      <c r="L22" s="10"/>
      <c r="M22" s="10"/>
      <c r="N22" s="1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3275B-C999-41E1-9288-52F6D6F515AF}">
  <dimension ref="A1:O24"/>
  <sheetViews>
    <sheetView workbookViewId="0"/>
  </sheetViews>
  <sheetFormatPr defaultRowHeight="15" x14ac:dyDescent="0.25"/>
  <sheetData>
    <row r="1" spans="1:15" x14ac:dyDescent="0.25">
      <c r="A1" s="7"/>
      <c r="B1" s="7"/>
      <c r="C1" s="7"/>
      <c r="D1" s="7"/>
      <c r="E1" s="7"/>
      <c r="F1" s="7"/>
      <c r="G1" s="7"/>
      <c r="H1" s="7"/>
      <c r="I1" s="7"/>
      <c r="J1" s="7"/>
      <c r="K1" s="7"/>
      <c r="L1" s="7"/>
      <c r="M1" s="7"/>
      <c r="N1" s="8"/>
      <c r="O1" s="8"/>
    </row>
    <row r="2" spans="1:15" x14ac:dyDescent="0.25">
      <c r="A2" s="7"/>
      <c r="B2" s="7"/>
      <c r="C2" s="7"/>
      <c r="D2" s="7"/>
      <c r="E2" s="7"/>
      <c r="F2" s="7"/>
      <c r="G2" s="7"/>
      <c r="H2" s="7"/>
      <c r="I2" s="7"/>
      <c r="J2" s="7"/>
      <c r="K2" s="7"/>
      <c r="L2" s="7"/>
      <c r="M2" s="7"/>
      <c r="N2" s="8"/>
      <c r="O2" s="8"/>
    </row>
    <row r="3" spans="1:15" x14ac:dyDescent="0.25">
      <c r="A3" s="7"/>
      <c r="B3" s="7"/>
      <c r="C3" s="7"/>
      <c r="D3" s="7"/>
      <c r="E3" s="7"/>
      <c r="F3" s="7"/>
      <c r="G3" s="7"/>
      <c r="H3" s="7"/>
      <c r="I3" s="7"/>
      <c r="J3" s="7"/>
      <c r="K3" s="7"/>
      <c r="L3" s="7"/>
      <c r="M3" s="7"/>
      <c r="N3" s="8"/>
      <c r="O3" s="8"/>
    </row>
    <row r="4" spans="1:15" x14ac:dyDescent="0.25">
      <c r="A4" s="7"/>
      <c r="B4" s="7"/>
      <c r="C4" s="7"/>
      <c r="D4" s="7"/>
      <c r="E4" s="7"/>
      <c r="F4" s="7"/>
      <c r="G4" s="7"/>
      <c r="H4" s="7"/>
      <c r="I4" s="7"/>
      <c r="J4" s="7"/>
      <c r="K4" s="7"/>
      <c r="L4" s="7"/>
      <c r="M4" s="7"/>
      <c r="N4" s="8"/>
      <c r="O4" s="8"/>
    </row>
    <row r="5" spans="1:15" x14ac:dyDescent="0.25">
      <c r="A5" s="7"/>
      <c r="B5" s="7"/>
      <c r="C5" s="7"/>
      <c r="D5" s="7"/>
      <c r="E5" s="7"/>
      <c r="F5" s="7"/>
      <c r="G5" s="7"/>
      <c r="H5" s="7"/>
      <c r="I5" s="7"/>
      <c r="J5" s="7"/>
      <c r="K5" s="7"/>
      <c r="L5" s="7"/>
      <c r="M5" s="7"/>
      <c r="N5" s="8"/>
      <c r="O5" s="8"/>
    </row>
    <row r="6" spans="1:15" x14ac:dyDescent="0.25">
      <c r="A6" s="7"/>
      <c r="B6" s="7"/>
      <c r="C6" s="7"/>
      <c r="D6" s="7"/>
      <c r="E6" s="7"/>
      <c r="F6" s="7"/>
      <c r="G6" s="7"/>
      <c r="H6" s="7"/>
      <c r="I6" s="7"/>
      <c r="J6" s="7"/>
      <c r="K6" s="7"/>
      <c r="L6" s="7"/>
      <c r="M6" s="7"/>
      <c r="N6" s="8"/>
      <c r="O6" s="8"/>
    </row>
    <row r="7" spans="1:15" x14ac:dyDescent="0.25">
      <c r="A7" s="7"/>
      <c r="B7" s="7"/>
      <c r="C7" s="7"/>
      <c r="D7" s="7"/>
      <c r="E7" s="7"/>
      <c r="F7" s="7"/>
      <c r="G7" s="7"/>
      <c r="H7" s="7"/>
      <c r="I7" s="7"/>
      <c r="J7" s="7"/>
      <c r="K7" s="7"/>
      <c r="L7" s="7"/>
      <c r="M7" s="7"/>
      <c r="N7" s="8"/>
      <c r="O7" s="8"/>
    </row>
    <row r="8" spans="1:15" x14ac:dyDescent="0.25">
      <c r="A8" s="7"/>
      <c r="B8" s="7"/>
      <c r="C8" s="7"/>
      <c r="D8" s="7"/>
      <c r="E8" s="7"/>
      <c r="F8" s="7"/>
      <c r="G8" s="7"/>
      <c r="H8" s="7"/>
      <c r="I8" s="7"/>
      <c r="J8" s="7"/>
      <c r="K8" s="7"/>
      <c r="L8" s="7"/>
      <c r="M8" s="7"/>
      <c r="N8" s="8"/>
      <c r="O8" s="8"/>
    </row>
    <row r="9" spans="1:15" x14ac:dyDescent="0.25">
      <c r="A9" s="7"/>
      <c r="B9" s="7"/>
      <c r="C9" s="7"/>
      <c r="D9" s="7"/>
      <c r="E9" s="7"/>
      <c r="F9" s="7"/>
      <c r="G9" s="7"/>
      <c r="H9" s="7"/>
      <c r="I9" s="7"/>
      <c r="J9" s="7"/>
      <c r="K9" s="7"/>
      <c r="L9" s="7"/>
      <c r="M9" s="7"/>
      <c r="N9" s="8"/>
      <c r="O9" s="8"/>
    </row>
    <row r="10" spans="1:15" x14ac:dyDescent="0.25">
      <c r="A10" s="7"/>
      <c r="B10" s="7"/>
      <c r="C10" s="7"/>
      <c r="D10" s="7"/>
      <c r="E10" s="7"/>
      <c r="F10" s="7"/>
      <c r="G10" s="7"/>
      <c r="H10" s="7"/>
      <c r="I10" s="7"/>
      <c r="J10" s="7"/>
      <c r="K10" s="7"/>
      <c r="L10" s="7"/>
      <c r="M10" s="7"/>
      <c r="N10" s="8"/>
      <c r="O10" s="8"/>
    </row>
    <row r="11" spans="1:15" x14ac:dyDescent="0.25">
      <c r="A11" s="7"/>
      <c r="B11" s="7"/>
      <c r="C11" s="7"/>
      <c r="D11" s="7"/>
      <c r="E11" s="7"/>
      <c r="F11" s="7"/>
      <c r="G11" s="7"/>
      <c r="H11" s="7"/>
      <c r="I11" s="7"/>
      <c r="J11" s="7"/>
      <c r="K11" s="7"/>
      <c r="L11" s="7"/>
      <c r="M11" s="7"/>
      <c r="N11" s="8"/>
      <c r="O11" s="8"/>
    </row>
    <row r="12" spans="1:15" x14ac:dyDescent="0.25">
      <c r="A12" s="7"/>
      <c r="B12" s="7"/>
      <c r="C12" s="7"/>
      <c r="D12" s="7"/>
      <c r="E12" s="7"/>
      <c r="F12" s="7"/>
      <c r="G12" s="7"/>
      <c r="H12" s="7"/>
      <c r="I12" s="7"/>
      <c r="J12" s="7"/>
      <c r="K12" s="7"/>
      <c r="L12" s="7"/>
      <c r="M12" s="7"/>
      <c r="N12" s="8"/>
      <c r="O12" s="8"/>
    </row>
    <row r="13" spans="1:15" x14ac:dyDescent="0.25">
      <c r="A13" s="7"/>
      <c r="B13" s="7"/>
      <c r="C13" s="7"/>
      <c r="D13" s="7"/>
      <c r="E13" s="7"/>
      <c r="F13" s="7"/>
      <c r="G13" s="7"/>
      <c r="H13" s="7"/>
      <c r="I13" s="7"/>
      <c r="J13" s="7"/>
      <c r="K13" s="7"/>
      <c r="L13" s="7"/>
      <c r="M13" s="7"/>
      <c r="N13" s="8"/>
      <c r="O13" s="8"/>
    </row>
    <row r="14" spans="1:15" x14ac:dyDescent="0.25">
      <c r="A14" s="7"/>
      <c r="B14" s="7"/>
      <c r="C14" s="7"/>
      <c r="D14" s="7"/>
      <c r="E14" s="7"/>
      <c r="F14" s="7"/>
      <c r="G14" s="7"/>
      <c r="H14" s="7"/>
      <c r="I14" s="7"/>
      <c r="J14" s="7"/>
      <c r="K14" s="7"/>
      <c r="L14" s="7"/>
      <c r="M14" s="7"/>
      <c r="N14" s="8"/>
      <c r="O14" s="8"/>
    </row>
    <row r="15" spans="1:15" x14ac:dyDescent="0.25">
      <c r="A15" s="7"/>
      <c r="B15" s="7"/>
      <c r="C15" s="7"/>
      <c r="D15" s="7"/>
      <c r="E15" s="7"/>
      <c r="F15" s="7"/>
      <c r="G15" s="7"/>
      <c r="H15" s="7"/>
      <c r="I15" s="7"/>
      <c r="J15" s="7"/>
      <c r="K15" s="7"/>
      <c r="L15" s="7"/>
      <c r="M15" s="7"/>
      <c r="N15" s="8"/>
      <c r="O15" s="8"/>
    </row>
    <row r="16" spans="1:15" x14ac:dyDescent="0.25">
      <c r="A16" s="7"/>
      <c r="B16" s="7"/>
      <c r="C16" s="7"/>
      <c r="D16" s="7"/>
      <c r="E16" s="7"/>
      <c r="F16" s="7"/>
      <c r="G16" s="7"/>
      <c r="H16" s="7"/>
      <c r="I16" s="7"/>
      <c r="J16" s="7"/>
      <c r="K16" s="7"/>
      <c r="L16" s="7"/>
      <c r="M16" s="7"/>
      <c r="N16" s="8"/>
      <c r="O16" s="8"/>
    </row>
    <row r="17" spans="1:15" x14ac:dyDescent="0.25">
      <c r="A17" s="7"/>
      <c r="B17" s="7"/>
      <c r="C17" s="7"/>
      <c r="D17" s="7"/>
      <c r="E17" s="7"/>
      <c r="F17" s="7"/>
      <c r="G17" s="7"/>
      <c r="H17" s="7"/>
      <c r="I17" s="7"/>
      <c r="J17" s="7"/>
      <c r="K17" s="7"/>
      <c r="L17" s="7"/>
      <c r="M17" s="7"/>
      <c r="N17" s="8"/>
      <c r="O17" s="8"/>
    </row>
    <row r="18" spans="1:15" x14ac:dyDescent="0.25">
      <c r="A18" s="7"/>
      <c r="B18" s="7"/>
      <c r="C18" s="7"/>
      <c r="D18" s="7"/>
      <c r="E18" s="7"/>
      <c r="F18" s="7"/>
      <c r="G18" s="7"/>
      <c r="H18" s="7"/>
      <c r="I18" s="7"/>
      <c r="J18" s="7"/>
      <c r="K18" s="7"/>
      <c r="L18" s="7"/>
      <c r="M18" s="7"/>
      <c r="N18" s="8"/>
      <c r="O18" s="8"/>
    </row>
    <row r="19" spans="1:15" x14ac:dyDescent="0.25">
      <c r="A19" s="7"/>
      <c r="B19" s="7"/>
      <c r="C19" s="7"/>
      <c r="D19" s="7"/>
      <c r="E19" s="7"/>
      <c r="F19" s="7"/>
      <c r="G19" s="7"/>
      <c r="H19" s="7"/>
      <c r="I19" s="7"/>
      <c r="J19" s="7"/>
      <c r="K19" s="7"/>
      <c r="L19" s="7"/>
      <c r="M19" s="7"/>
      <c r="N19" s="8"/>
      <c r="O19" s="8"/>
    </row>
    <row r="20" spans="1:15" x14ac:dyDescent="0.25">
      <c r="A20" s="7"/>
      <c r="B20" s="7"/>
      <c r="C20" s="7"/>
      <c r="D20" s="7"/>
      <c r="E20" s="7"/>
      <c r="F20" s="7"/>
      <c r="G20" s="7"/>
      <c r="H20" s="7"/>
      <c r="I20" s="7"/>
      <c r="J20" s="7"/>
      <c r="K20" s="7"/>
      <c r="L20" s="7"/>
      <c r="M20" s="7"/>
      <c r="N20" s="8"/>
      <c r="O20" s="8"/>
    </row>
    <row r="21" spans="1:15" x14ac:dyDescent="0.25">
      <c r="A21" s="8"/>
      <c r="B21" s="8"/>
      <c r="C21" s="8"/>
      <c r="D21" s="8"/>
      <c r="E21" s="8"/>
      <c r="F21" s="8"/>
      <c r="G21" s="8"/>
      <c r="H21" s="8"/>
      <c r="I21" s="8"/>
      <c r="J21" s="8"/>
      <c r="K21" s="8"/>
      <c r="L21" s="8"/>
      <c r="M21" s="8"/>
      <c r="N21" s="8"/>
      <c r="O21" s="8"/>
    </row>
    <row r="22" spans="1:15" x14ac:dyDescent="0.25">
      <c r="A22" s="8"/>
      <c r="B22" s="8"/>
      <c r="C22" s="9" t="s">
        <v>8</v>
      </c>
      <c r="D22" s="8"/>
      <c r="E22" s="8"/>
      <c r="F22" s="8"/>
      <c r="G22" s="8"/>
      <c r="H22" s="8"/>
      <c r="I22" s="8"/>
      <c r="J22" s="8"/>
      <c r="K22" s="8"/>
      <c r="L22" s="8"/>
      <c r="M22" s="8"/>
      <c r="N22" s="8"/>
      <c r="O22" s="8"/>
    </row>
    <row r="23" spans="1:15" x14ac:dyDescent="0.25">
      <c r="A23" s="8"/>
      <c r="B23" s="8"/>
      <c r="C23" s="8"/>
      <c r="D23" s="8"/>
      <c r="E23" s="8"/>
      <c r="F23" s="8"/>
      <c r="G23" s="8"/>
      <c r="H23" s="8"/>
      <c r="I23" s="8"/>
      <c r="J23" s="8"/>
      <c r="K23" s="8"/>
      <c r="L23" s="8"/>
      <c r="M23" s="8"/>
      <c r="N23" s="8"/>
      <c r="O23" s="8"/>
    </row>
    <row r="24" spans="1:15" x14ac:dyDescent="0.25">
      <c r="A24" s="8"/>
      <c r="B24" s="8"/>
      <c r="C24" s="8"/>
      <c r="D24" s="8"/>
      <c r="E24" s="8"/>
      <c r="F24" s="8"/>
      <c r="G24" s="8"/>
      <c r="H24" s="8"/>
      <c r="I24" s="8"/>
      <c r="J24" s="8"/>
      <c r="K24" s="8"/>
      <c r="L24" s="8"/>
      <c r="M24" s="8"/>
      <c r="N24" s="8"/>
      <c r="O24" s="8"/>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2FC1A-8340-4B12-985B-A263CD18043C}">
  <dimension ref="A1:O24"/>
  <sheetViews>
    <sheetView workbookViewId="0"/>
  </sheetViews>
  <sheetFormatPr defaultRowHeight="15" x14ac:dyDescent="0.25"/>
  <sheetData>
    <row r="1" spans="1:15" x14ac:dyDescent="0.25">
      <c r="A1" s="7"/>
      <c r="B1" s="7"/>
      <c r="C1" s="7"/>
      <c r="D1" s="7"/>
      <c r="E1" s="7"/>
      <c r="F1" s="7"/>
      <c r="G1" s="7"/>
      <c r="H1" s="7"/>
      <c r="I1" s="7"/>
      <c r="J1" s="7"/>
      <c r="K1" s="7"/>
      <c r="L1" s="7"/>
      <c r="M1" s="7"/>
      <c r="N1" s="8"/>
      <c r="O1" s="8"/>
    </row>
    <row r="2" spans="1:15" x14ac:dyDescent="0.25">
      <c r="A2" s="7"/>
      <c r="B2" s="7"/>
      <c r="C2" s="7"/>
      <c r="D2" s="7"/>
      <c r="E2" s="7"/>
      <c r="F2" s="7"/>
      <c r="G2" s="7"/>
      <c r="H2" s="8"/>
      <c r="I2" s="7"/>
      <c r="J2" s="7"/>
      <c r="K2" s="7"/>
      <c r="L2" s="7"/>
      <c r="M2" s="7"/>
      <c r="N2" s="8"/>
      <c r="O2" s="8"/>
    </row>
    <row r="3" spans="1:15" x14ac:dyDescent="0.25">
      <c r="A3" s="7"/>
      <c r="B3" s="7"/>
      <c r="C3" s="7"/>
      <c r="D3" s="7"/>
      <c r="E3" s="7"/>
      <c r="F3" s="7"/>
      <c r="G3" s="7"/>
      <c r="H3" s="7"/>
      <c r="I3" s="7"/>
      <c r="J3" s="7"/>
      <c r="K3" s="7"/>
      <c r="L3" s="7"/>
      <c r="M3" s="7"/>
      <c r="N3" s="8"/>
      <c r="O3" s="8"/>
    </row>
    <row r="4" spans="1:15" x14ac:dyDescent="0.25">
      <c r="A4" s="7"/>
      <c r="B4" s="7"/>
      <c r="C4" s="7"/>
      <c r="D4" s="7"/>
      <c r="E4" s="7"/>
      <c r="F4" s="7"/>
      <c r="G4" s="7"/>
      <c r="H4" s="7"/>
      <c r="I4" s="7"/>
      <c r="J4" s="7"/>
      <c r="K4" s="7"/>
      <c r="L4" s="7"/>
      <c r="M4" s="7"/>
      <c r="N4" s="8"/>
      <c r="O4" s="8"/>
    </row>
    <row r="5" spans="1:15" x14ac:dyDescent="0.25">
      <c r="A5" s="7"/>
      <c r="B5" s="7"/>
      <c r="C5" s="7"/>
      <c r="D5" s="7"/>
      <c r="E5" s="7"/>
      <c r="F5" s="7"/>
      <c r="G5" s="7"/>
      <c r="H5" s="7"/>
      <c r="I5" s="7"/>
      <c r="J5" s="7"/>
      <c r="K5" s="7"/>
      <c r="L5" s="7"/>
      <c r="M5" s="7"/>
      <c r="N5" s="8"/>
      <c r="O5" s="8"/>
    </row>
    <row r="6" spans="1:15" x14ac:dyDescent="0.25">
      <c r="A6" s="7"/>
      <c r="B6" s="7"/>
      <c r="C6" s="7"/>
      <c r="D6" s="7"/>
      <c r="E6" s="7"/>
      <c r="F6" s="7"/>
      <c r="G6" s="7"/>
      <c r="H6" s="7"/>
      <c r="I6" s="7"/>
      <c r="J6" s="7"/>
      <c r="K6" s="7"/>
      <c r="L6" s="7"/>
      <c r="M6" s="7"/>
      <c r="N6" s="8"/>
      <c r="O6" s="8"/>
    </row>
    <row r="7" spans="1:15" x14ac:dyDescent="0.25">
      <c r="A7" s="7"/>
      <c r="B7" s="7"/>
      <c r="C7" s="7"/>
      <c r="D7" s="7"/>
      <c r="E7" s="7"/>
      <c r="F7" s="7"/>
      <c r="G7" s="7"/>
      <c r="H7" s="7"/>
      <c r="I7" s="7"/>
      <c r="J7" s="7"/>
      <c r="K7" s="7"/>
      <c r="L7" s="7"/>
      <c r="M7" s="7"/>
      <c r="N7" s="8"/>
      <c r="O7" s="8"/>
    </row>
    <row r="8" spans="1:15" x14ac:dyDescent="0.25">
      <c r="A8" s="7"/>
      <c r="B8" s="7"/>
      <c r="C8" s="7"/>
      <c r="D8" s="7"/>
      <c r="E8" s="7"/>
      <c r="F8" s="7"/>
      <c r="G8" s="7"/>
      <c r="H8" s="7"/>
      <c r="I8" s="7"/>
      <c r="J8" s="7"/>
      <c r="K8" s="7"/>
      <c r="L8" s="7"/>
      <c r="M8" s="7"/>
      <c r="N8" s="8"/>
      <c r="O8" s="8"/>
    </row>
    <row r="9" spans="1:15" x14ac:dyDescent="0.25">
      <c r="A9" s="7"/>
      <c r="B9" s="7"/>
      <c r="C9" s="7"/>
      <c r="D9" s="7"/>
      <c r="E9" s="7"/>
      <c r="F9" s="7"/>
      <c r="G9" s="7"/>
      <c r="H9" s="7"/>
      <c r="I9" s="7"/>
      <c r="J9" s="7"/>
      <c r="K9" s="7"/>
      <c r="L9" s="7"/>
      <c r="M9" s="7"/>
      <c r="N9" s="8"/>
      <c r="O9" s="8"/>
    </row>
    <row r="10" spans="1:15" x14ac:dyDescent="0.25">
      <c r="A10" s="7"/>
      <c r="B10" s="7"/>
      <c r="C10" s="7"/>
      <c r="D10" s="7"/>
      <c r="E10" s="7"/>
      <c r="F10" s="7"/>
      <c r="G10" s="7"/>
      <c r="H10" s="7"/>
      <c r="I10" s="7"/>
      <c r="J10" s="7"/>
      <c r="K10" s="7"/>
      <c r="L10" s="7"/>
      <c r="M10" s="7"/>
      <c r="N10" s="8"/>
      <c r="O10" s="8"/>
    </row>
    <row r="11" spans="1:15" x14ac:dyDescent="0.25">
      <c r="A11" s="7"/>
      <c r="B11" s="7"/>
      <c r="C11" s="7"/>
      <c r="D11" s="7"/>
      <c r="E11" s="7"/>
      <c r="F11" s="7"/>
      <c r="G11" s="7"/>
      <c r="H11" s="7"/>
      <c r="I11" s="7"/>
      <c r="J11" s="7"/>
      <c r="K11" s="7"/>
      <c r="L11" s="7"/>
      <c r="M11" s="7"/>
      <c r="N11" s="8"/>
      <c r="O11" s="8"/>
    </row>
    <row r="12" spans="1:15" x14ac:dyDescent="0.25">
      <c r="A12" s="7"/>
      <c r="B12" s="7"/>
      <c r="C12" s="7"/>
      <c r="D12" s="7"/>
      <c r="E12" s="7"/>
      <c r="F12" s="7"/>
      <c r="G12" s="7"/>
      <c r="H12" s="7"/>
      <c r="I12" s="7"/>
      <c r="J12" s="7"/>
      <c r="K12" s="7"/>
      <c r="L12" s="7"/>
      <c r="M12" s="7"/>
      <c r="N12" s="8"/>
      <c r="O12" s="8"/>
    </row>
    <row r="13" spans="1:15" x14ac:dyDescent="0.25">
      <c r="A13" s="7"/>
      <c r="B13" s="7"/>
      <c r="C13" s="7"/>
      <c r="D13" s="7"/>
      <c r="E13" s="7"/>
      <c r="F13" s="7"/>
      <c r="G13" s="7"/>
      <c r="H13" s="7"/>
      <c r="I13" s="7"/>
      <c r="J13" s="7"/>
      <c r="K13" s="7"/>
      <c r="L13" s="7"/>
      <c r="M13" s="7"/>
      <c r="N13" s="8"/>
      <c r="O13" s="8"/>
    </row>
    <row r="14" spans="1:15" x14ac:dyDescent="0.25">
      <c r="A14" s="7"/>
      <c r="B14" s="7"/>
      <c r="C14" s="7"/>
      <c r="D14" s="7"/>
      <c r="E14" s="7"/>
      <c r="F14" s="7"/>
      <c r="G14" s="7"/>
      <c r="H14" s="7"/>
      <c r="I14" s="7"/>
      <c r="J14" s="7"/>
      <c r="K14" s="7"/>
      <c r="L14" s="7"/>
      <c r="M14" s="7"/>
      <c r="N14" s="8"/>
      <c r="O14" s="8"/>
    </row>
    <row r="15" spans="1:15" x14ac:dyDescent="0.25">
      <c r="A15" s="7"/>
      <c r="B15" s="7"/>
      <c r="C15" s="7"/>
      <c r="D15" s="7"/>
      <c r="E15" s="7"/>
      <c r="F15" s="7"/>
      <c r="G15" s="7"/>
      <c r="H15" s="7"/>
      <c r="I15" s="7"/>
      <c r="J15" s="7"/>
      <c r="K15" s="7"/>
      <c r="L15" s="7"/>
      <c r="M15" s="7"/>
      <c r="N15" s="8"/>
      <c r="O15" s="8"/>
    </row>
    <row r="16" spans="1:15" x14ac:dyDescent="0.25">
      <c r="A16" s="7"/>
      <c r="B16" s="7"/>
      <c r="C16" s="7"/>
      <c r="D16" s="7"/>
      <c r="E16" s="7"/>
      <c r="F16" s="7"/>
      <c r="G16" s="7"/>
      <c r="H16" s="7"/>
      <c r="I16" s="7"/>
      <c r="J16" s="7"/>
      <c r="K16" s="7"/>
      <c r="L16" s="7"/>
      <c r="M16" s="7"/>
      <c r="N16" s="8"/>
      <c r="O16" s="8"/>
    </row>
    <row r="17" spans="1:15" x14ac:dyDescent="0.25">
      <c r="A17" s="7"/>
      <c r="B17" s="7"/>
      <c r="C17" s="7"/>
      <c r="D17" s="7"/>
      <c r="E17" s="7"/>
      <c r="F17" s="7"/>
      <c r="G17" s="7"/>
      <c r="H17" s="7"/>
      <c r="I17" s="7"/>
      <c r="J17" s="7"/>
      <c r="K17" s="7"/>
      <c r="L17" s="7"/>
      <c r="M17" s="7"/>
      <c r="N17" s="8"/>
      <c r="O17" s="8"/>
    </row>
    <row r="18" spans="1:15" x14ac:dyDescent="0.25">
      <c r="A18" s="7"/>
      <c r="B18" s="7"/>
      <c r="C18" s="7"/>
      <c r="D18" s="7"/>
      <c r="E18" s="7"/>
      <c r="F18" s="7"/>
      <c r="G18" s="7"/>
      <c r="H18" s="7"/>
      <c r="I18" s="7"/>
      <c r="J18" s="7"/>
      <c r="K18" s="7"/>
      <c r="L18" s="7"/>
      <c r="M18" s="7"/>
      <c r="N18" s="8"/>
      <c r="O18" s="8"/>
    </row>
    <row r="19" spans="1:15" x14ac:dyDescent="0.25">
      <c r="A19" s="7"/>
      <c r="B19" s="7"/>
      <c r="C19" s="7"/>
      <c r="D19" s="7"/>
      <c r="E19" s="7"/>
      <c r="F19" s="7"/>
      <c r="G19" s="7"/>
      <c r="H19" s="7"/>
      <c r="I19" s="7"/>
      <c r="J19" s="7"/>
      <c r="K19" s="7"/>
      <c r="L19" s="7"/>
      <c r="M19" s="7"/>
      <c r="N19" s="8"/>
      <c r="O19" s="8"/>
    </row>
    <row r="20" spans="1:15" x14ac:dyDescent="0.25">
      <c r="A20" s="7"/>
      <c r="B20" s="7"/>
      <c r="C20" s="7"/>
      <c r="D20" s="7"/>
      <c r="E20" s="7"/>
      <c r="F20" s="7"/>
      <c r="G20" s="7"/>
      <c r="H20" s="7"/>
      <c r="I20" s="7"/>
      <c r="J20" s="7"/>
      <c r="K20" s="7"/>
      <c r="L20" s="7"/>
      <c r="M20" s="7"/>
      <c r="N20" s="8"/>
      <c r="O20" s="8"/>
    </row>
    <row r="21" spans="1:15" x14ac:dyDescent="0.25">
      <c r="A21" s="8"/>
      <c r="B21" s="8"/>
      <c r="C21" s="8"/>
      <c r="D21" s="8"/>
      <c r="E21" s="8"/>
      <c r="F21" s="8"/>
      <c r="G21" s="8"/>
      <c r="H21" s="8"/>
      <c r="I21" s="8"/>
      <c r="J21" s="8"/>
      <c r="K21" s="8"/>
      <c r="L21" s="8"/>
      <c r="M21" s="8"/>
      <c r="N21" s="8"/>
      <c r="O21" s="8"/>
    </row>
    <row r="22" spans="1:15" ht="15.75" x14ac:dyDescent="0.25">
      <c r="A22" s="8"/>
      <c r="B22" s="8"/>
      <c r="C22" s="12" t="s">
        <v>10</v>
      </c>
      <c r="D22" s="8"/>
      <c r="E22" s="8"/>
      <c r="F22" s="8"/>
      <c r="G22" s="8"/>
      <c r="H22" s="8"/>
      <c r="I22" s="8"/>
      <c r="J22" s="8"/>
      <c r="K22" s="8"/>
      <c r="L22" s="8"/>
      <c r="M22" s="8"/>
      <c r="N22" s="8"/>
      <c r="O22" s="8"/>
    </row>
    <row r="23" spans="1:15" x14ac:dyDescent="0.25">
      <c r="A23" s="8"/>
      <c r="B23" s="8"/>
      <c r="C23" s="8"/>
      <c r="D23" s="8"/>
      <c r="E23" s="8"/>
      <c r="F23" s="8"/>
      <c r="G23" s="8"/>
      <c r="H23" s="8"/>
      <c r="I23" s="8"/>
      <c r="J23" s="8"/>
      <c r="K23" s="8"/>
      <c r="L23" s="8"/>
      <c r="M23" s="8"/>
      <c r="N23" s="8"/>
      <c r="O23" s="8"/>
    </row>
    <row r="24" spans="1:15" x14ac:dyDescent="0.25">
      <c r="A24" s="8"/>
      <c r="B24" s="8"/>
      <c r="C24" s="8"/>
      <c r="D24" s="8"/>
      <c r="E24" s="8"/>
      <c r="F24" s="8"/>
      <c r="G24" s="8"/>
      <c r="H24" s="8"/>
      <c r="I24" s="8"/>
      <c r="J24" s="8"/>
      <c r="K24" s="8"/>
      <c r="L24" s="8"/>
      <c r="M24" s="8"/>
      <c r="N24" s="8"/>
      <c r="O24" s="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D316C64-3582-48A0-90DA-62770E248253}">
  <ds:schemaRefs/>
</ds:datastoreItem>
</file>

<file path=customXml/itemProps2.xml><?xml version="1.0" encoding="utf-8"?>
<ds:datastoreItem xmlns:ds="http://schemas.openxmlformats.org/officeDocument/2006/customXml" ds:itemID="{904DE164-5751-48A1-A10C-DA3B04A276AC}">
  <ds:schemaRefs/>
</ds:datastoreItem>
</file>

<file path=customXml/itemProps3.xml><?xml version="1.0" encoding="utf-8"?>
<ds:datastoreItem xmlns:ds="http://schemas.openxmlformats.org/officeDocument/2006/customXml" ds:itemID="{0726EB5D-ECC5-4FD4-9EDB-199F026EEAC0}">
  <ds:schemaRefs/>
</ds:datastoreItem>
</file>

<file path=customXml/itemProps4.xml><?xml version="1.0" encoding="utf-8"?>
<ds:datastoreItem xmlns:ds="http://schemas.openxmlformats.org/officeDocument/2006/customXml" ds:itemID="{1A7D6443-054F-4FDB-B432-5090F529A46A}">
  <ds:schemaRefs/>
</ds:datastoreItem>
</file>

<file path=customXml/itemProps5.xml><?xml version="1.0" encoding="utf-8"?>
<ds:datastoreItem xmlns:ds="http://schemas.openxmlformats.org/officeDocument/2006/customXml" ds:itemID="{795E25D0-9E7C-4247-ADB5-D03EEA798893}">
  <ds:schemaRefs/>
</ds:datastoreItem>
</file>

<file path=customXml/itemProps6.xml><?xml version="1.0" encoding="utf-8"?>
<ds:datastoreItem xmlns:ds="http://schemas.openxmlformats.org/officeDocument/2006/customXml" ds:itemID="{875A6A63-E107-472C-8A5F-86653FED44F0}">
  <ds:schemaRefs/>
</ds:datastoreItem>
</file>

<file path=customXml/itemProps7.xml><?xml version="1.0" encoding="utf-8"?>
<ds:datastoreItem xmlns:ds="http://schemas.openxmlformats.org/officeDocument/2006/customXml" ds:itemID="{FF2FC632-3F7C-4380-8E39-B5485D2ED726}">
  <ds:schemaRefs/>
</ds:datastoreItem>
</file>

<file path=customXml/itemProps8.xml><?xml version="1.0" encoding="utf-8"?>
<ds:datastoreItem xmlns:ds="http://schemas.openxmlformats.org/officeDocument/2006/customXml" ds:itemID="{EAFBCB0C-2280-4FC6-9DBB-DE6BD8695043}">
  <ds:schemaRefs>
    <ds:schemaRef ds:uri="http://schemas.microsoft.com/DataMashup"/>
  </ds:schemaRefs>
</ds:datastoreItem>
</file>

<file path=customXml/itemProps9.xml><?xml version="1.0" encoding="utf-8"?>
<ds:datastoreItem xmlns:ds="http://schemas.openxmlformats.org/officeDocument/2006/customXml" ds:itemID="{FE459C62-38D2-4B69-907D-EB4E802DE09A}">
  <ds:schemaRefs/>
</ds:datastoreItem>
</file>

<file path=customXml/itemProps10.xml><?xml version="1.0" encoding="utf-8"?>
<ds:datastoreItem xmlns:ds="http://schemas.openxmlformats.org/officeDocument/2006/customXml" ds:itemID="{C23574E6-3C2B-446C-BFDE-A4DA09AFDB41}">
  <ds:schemaRefs/>
</ds:datastoreItem>
</file>

<file path=customXml/itemProps11.xml><?xml version="1.0" encoding="utf-8"?>
<ds:datastoreItem xmlns:ds="http://schemas.openxmlformats.org/officeDocument/2006/customXml" ds:itemID="{5455ED9D-D4A1-4E87-A8ED-BB7685B1C844}">
  <ds:schemaRefs/>
</ds:datastoreItem>
</file>

<file path=customXml/itemProps12.xml><?xml version="1.0" encoding="utf-8"?>
<ds:datastoreItem xmlns:ds="http://schemas.openxmlformats.org/officeDocument/2006/customXml" ds:itemID="{6409E685-3925-4F6B-B1F3-1C453FCA7AFD}">
  <ds:schemaRefs/>
</ds:datastoreItem>
</file>

<file path=customXml/itemProps13.xml><?xml version="1.0" encoding="utf-8"?>
<ds:datastoreItem xmlns:ds="http://schemas.openxmlformats.org/officeDocument/2006/customXml" ds:itemID="{16F0C4D6-FB26-450A-9B05-0BAED738A1A3}">
  <ds:schemaRefs/>
</ds:datastoreItem>
</file>

<file path=customXml/itemProps14.xml><?xml version="1.0" encoding="utf-8"?>
<ds:datastoreItem xmlns:ds="http://schemas.openxmlformats.org/officeDocument/2006/customXml" ds:itemID="{93533066-F11D-434F-B5A2-27D8D42C70D5}">
  <ds:schemaRefs/>
</ds:datastoreItem>
</file>

<file path=customXml/itemProps15.xml><?xml version="1.0" encoding="utf-8"?>
<ds:datastoreItem xmlns:ds="http://schemas.openxmlformats.org/officeDocument/2006/customXml" ds:itemID="{781F1C4D-BD7E-4FE3-93FB-3F0ED6685526}">
  <ds:schemaRefs/>
</ds:datastoreItem>
</file>

<file path=customXml/itemProps16.xml><?xml version="1.0" encoding="utf-8"?>
<ds:datastoreItem xmlns:ds="http://schemas.openxmlformats.org/officeDocument/2006/customXml" ds:itemID="{4DF74EAB-BEB0-4D21-A690-F5C8193B64F2}">
  <ds:schemaRefs/>
</ds:datastoreItem>
</file>

<file path=customXml/itemProps17.xml><?xml version="1.0" encoding="utf-8"?>
<ds:datastoreItem xmlns:ds="http://schemas.openxmlformats.org/officeDocument/2006/customXml" ds:itemID="{BAAC82DF-A896-4304-B181-36D9FA06047C}">
  <ds:schemaRefs/>
</ds:datastoreItem>
</file>

<file path=customXml/itemProps18.xml><?xml version="1.0" encoding="utf-8"?>
<ds:datastoreItem xmlns:ds="http://schemas.openxmlformats.org/officeDocument/2006/customXml" ds:itemID="{76BEFDDE-7156-4AC0-8FFC-AF827192A0F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Daseboard</vt:lpstr>
      <vt:lpstr>Daliy ER no of patient</vt:lpstr>
      <vt:lpstr>Average wait time daily trend</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Pareek</dc:creator>
  <cp:lastModifiedBy>Aman Pareek</cp:lastModifiedBy>
  <dcterms:created xsi:type="dcterms:W3CDTF">2015-06-05T18:17:20Z</dcterms:created>
  <dcterms:modified xsi:type="dcterms:W3CDTF">2026-09-01T08:43:57Z</dcterms:modified>
</cp:coreProperties>
</file>